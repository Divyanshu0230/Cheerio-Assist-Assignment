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ssumptions" sheetId="2" state="visible" r:id="rId2"/>
    <sheet xmlns:r="http://schemas.openxmlformats.org/officeDocument/2006/relationships" name="Volume" sheetId="3" state="visible" r:id="rId3"/>
    <sheet xmlns:r="http://schemas.openxmlformats.org/officeDocument/2006/relationships" name="Cost" sheetId="4" state="visible" r:id="rId4"/>
    <sheet xmlns:r="http://schemas.openxmlformats.org/officeDocument/2006/relationships" name="Roadmap" sheetId="5" state="visible" r:id="rId5"/>
    <sheet xmlns:r="http://schemas.openxmlformats.org/officeDocument/2006/relationships" name="Billing" sheetId="6" state="visible" r:id="rId6"/>
    <sheet xmlns:r="http://schemas.openxmlformats.org/officeDocument/2006/relationships" name="Audit" sheetId="7" state="visible" r:id="rId7"/>
  </sheets>
  <definedNames>
    <definedName name="_xlnm.Print_Area" localSheetId="0">'Summary'!$A$1:$E$38</definedName>
    <definedName name="_xlnm._FilterDatabase" localSheetId="1" hidden="1">'Assumptions'!$A$17:$G$24</definedName>
    <definedName name="_xlnm.Print_Titles" localSheetId="1">'Assumptions'!$1:$2</definedName>
    <definedName name="_xlnm.Print_Area" localSheetId="1">'Assumptions'!$A$1:$G$68</definedName>
    <definedName name="_xlnm.Print_Area" localSheetId="2">'Volume'!$A$1:$H$33</definedName>
    <definedName name="_xlnm.Print_Area" localSheetId="3">'Cost'!$A$1:$C$42</definedName>
    <definedName name="_xlnm.Print_Area" localSheetId="4">'Roadmap'!$A$1:$H$23</definedName>
    <definedName name="_xlnm.Print_Area" localSheetId="5">'Billing'!$A$1:$C$35</definedName>
    <definedName name="_xlnm.Print_Area" localSheetId="6">'Audit'!$A$1:$C$31</definedName>
  </definedNames>
  <calcPr calcId="124519" fullCalcOnLoad="1"/>
</workbook>
</file>

<file path=xl/styles.xml><?xml version="1.0" encoding="utf-8"?>
<styleSheet xmlns="http://schemas.openxmlformats.org/spreadsheetml/2006/main">
  <numFmts count="7">
    <numFmt numFmtId="164" formatCode="0.0%"/>
    <numFmt numFmtId="165" formatCode="0.0"/>
    <numFmt numFmtId="166" formatCode="₹#,##0"/>
    <numFmt numFmtId="167" formatCode="&quot;$&quot;#,##0.00"/>
    <numFmt numFmtId="168" formatCode="#,##0.0"/>
    <numFmt numFmtId="169" formatCode="₹#,##0.00"/>
    <numFmt numFmtId="170" formatCode="&quot;$&quot;#,##0.000000"/>
  </numFmts>
  <fonts count="8">
    <font>
      <name val="Calibri"/>
      <family val="2"/>
      <color theme="1"/>
      <sz val="11"/>
      <scheme val="minor"/>
    </font>
    <font>
      <name val="Calibri"/>
      <b val="1"/>
      <color rgb="000E3B2E"/>
      <sz val="18"/>
    </font>
    <font>
      <name val="Calibri"/>
      <i val="1"/>
      <color rgb="005C564C"/>
      <sz val="10"/>
    </font>
    <font>
      <name val="Calibri"/>
      <b val="1"/>
      <color rgb="000E3B2E"/>
      <sz val="14"/>
    </font>
    <font>
      <name val="Calibri"/>
      <b val="1"/>
      <color rgb="001F4E79"/>
      <sz val="11"/>
    </font>
    <font>
      <name val="Calibri"/>
      <color rgb="001A1814"/>
      <sz val="11"/>
    </font>
    <font>
      <name val="Calibri"/>
      <b val="1"/>
      <color rgb="00FFFFFF"/>
      <sz val="11"/>
    </font>
    <font>
      <name val="Calibri"/>
      <b val="1"/>
      <color rgb="001A1814"/>
      <sz val="11"/>
    </font>
  </fonts>
  <fills count="5">
    <fill>
      <patternFill/>
    </fill>
    <fill>
      <patternFill patternType="gray125"/>
    </fill>
    <fill>
      <patternFill patternType="solid">
        <fgColor rgb="00D9E8F6"/>
      </patternFill>
    </fill>
    <fill>
      <patternFill patternType="solid">
        <fgColor rgb="000E3B2E"/>
      </patternFill>
    </fill>
    <fill>
      <patternFill patternType="solid">
        <fgColor rgb="00FFFcf7"/>
      </patternFill>
    </fill>
  </fills>
  <borders count="2">
    <border>
      <left/>
      <right/>
      <top/>
      <bottom/>
      <diagonal/>
    </border>
    <border>
      <left style="thin">
        <color rgb="00E4DDD0"/>
      </left>
      <right style="thin">
        <color rgb="00E4DDD0"/>
      </right>
      <top style="thin">
        <color rgb="00E4DDD0"/>
      </top>
      <bottom style="thin">
        <color rgb="00E4DDD0"/>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applyAlignment="1" pivotButton="0" quotePrefix="0" xfId="0">
      <alignment vertical="center" wrapText="1"/>
    </xf>
    <xf numFmtId="0" fontId="3" fillId="0" borderId="0" pivotButton="0" quotePrefix="0" xfId="0"/>
    <xf numFmtId="0" fontId="5" fillId="0" borderId="0" pivotButton="0" quotePrefix="0" xfId="0"/>
    <xf numFmtId="3" fontId="5" fillId="4" borderId="1" applyAlignment="1" pivotButton="0" quotePrefix="0" xfId="0">
      <alignment horizontal="center" vertical="center" wrapText="1"/>
    </xf>
    <xf numFmtId="169" fontId="5" fillId="4" borderId="1" applyAlignment="1" pivotButton="0" quotePrefix="0" xfId="0">
      <alignment horizontal="center" vertical="center" wrapText="1"/>
    </xf>
    <xf numFmtId="165" fontId="5" fillId="4" borderId="1" applyAlignment="1" pivotButton="0" quotePrefix="0" xfId="0">
      <alignment horizontal="center" vertical="center" wrapText="1"/>
    </xf>
    <xf numFmtId="166" fontId="5" fillId="4" borderId="1" applyAlignment="1" pivotButton="0" quotePrefix="0" xfId="0">
      <alignment horizontal="center" vertical="center" wrapText="1"/>
    </xf>
    <xf numFmtId="164" fontId="5" fillId="4" borderId="1" applyAlignment="1" pivotButton="0" quotePrefix="0" xfId="0">
      <alignment horizontal="center" vertical="center" wrapText="1"/>
    </xf>
    <xf numFmtId="0" fontId="5" fillId="0" borderId="0" applyAlignment="1" pivotButton="0" quotePrefix="0" xfId="0">
      <alignment vertical="center" wrapText="1"/>
    </xf>
    <xf numFmtId="2" fontId="5" fillId="4" borderId="1" applyAlignment="1" pivotButton="0" quotePrefix="0" xfId="0">
      <alignment horizontal="center" vertical="center" wrapText="1"/>
    </xf>
    <xf numFmtId="0" fontId="5" fillId="4" borderId="1" applyAlignment="1" pivotButton="0" quotePrefix="0" xfId="0">
      <alignment horizontal="center" vertical="center" wrapText="1"/>
    </xf>
    <xf numFmtId="0" fontId="6" fillId="3" borderId="1" applyAlignment="1" pivotButton="0" quotePrefix="0" xfId="0">
      <alignment horizontal="center" vertical="center" wrapText="1"/>
    </xf>
    <xf numFmtId="3" fontId="4" fillId="2" borderId="1" applyAlignment="1" pivotButton="0" quotePrefix="0" xfId="0">
      <alignment horizontal="center" vertical="center" wrapText="1"/>
    </xf>
    <xf numFmtId="164" fontId="4" fillId="2" borderId="1" applyAlignment="1" pivotButton="0" quotePrefix="0" xfId="0">
      <alignment horizontal="center" vertical="center" wrapText="1"/>
    </xf>
    <xf numFmtId="165" fontId="4" fillId="2" borderId="1" applyAlignment="1" pivotButton="0" quotePrefix="0" xfId="0">
      <alignment horizontal="center" vertical="center" wrapText="1"/>
    </xf>
    <xf numFmtId="1" fontId="4" fillId="2" borderId="1" applyAlignment="1" pivotButton="0" quotePrefix="0" xfId="0">
      <alignment horizontal="center" vertical="center" wrapText="1"/>
    </xf>
    <xf numFmtId="166" fontId="4" fillId="2" borderId="1" applyAlignment="1" pivotButton="0" quotePrefix="0" xfId="0">
      <alignment horizontal="center" vertical="center" wrapText="1"/>
    </xf>
    <xf numFmtId="0" fontId="2" fillId="0" borderId="0" pivotButton="0" quotePrefix="0" xfId="0"/>
    <xf numFmtId="167" fontId="4" fillId="2" borderId="1" applyAlignment="1" pivotButton="0" quotePrefix="0" xfId="0">
      <alignment horizontal="center" vertical="center" wrapText="1"/>
    </xf>
    <xf numFmtId="2" fontId="4" fillId="2" borderId="1" applyAlignment="1" pivotButton="0" quotePrefix="0" xfId="0">
      <alignment horizontal="center" vertical="center" wrapText="1"/>
    </xf>
    <xf numFmtId="168" fontId="5" fillId="4" borderId="1" applyAlignment="1" pivotButton="0" quotePrefix="0" xfId="0">
      <alignment horizontal="center" vertical="center" wrapText="1"/>
    </xf>
    <xf numFmtId="0" fontId="7" fillId="4" borderId="1" applyAlignment="1" pivotButton="0" quotePrefix="0" xfId="0">
      <alignment horizontal="center" vertical="center" wrapText="1"/>
    </xf>
    <xf numFmtId="168" fontId="7" fillId="4" borderId="1" applyAlignment="1" pivotButton="0" quotePrefix="0" xfId="0">
      <alignment horizontal="center" vertical="center" wrapText="1"/>
    </xf>
    <xf numFmtId="170" fontId="5" fillId="4" borderId="1" applyAlignment="1" pivotButton="0" quotePrefix="0" xfId="0">
      <alignment horizontal="center" vertical="center" wrapText="1"/>
    </xf>
    <xf numFmtId="1" fontId="5" fillId="4" borderId="1" applyAlignment="1" pivotButton="0" quotePrefix="0" xfId="0">
      <alignment horizontal="center" vertical="center" wrapText="1"/>
    </xf>
  </cellXfs>
  <cellStyles count="1">
    <cellStyle name="Normal" xfId="0" builtinId="0" hidden="0"/>
  </cellStyles>
  <dxfs count="2">
    <dxf>
      <font>
        <name val="Calibri"/>
        <b val="1"/>
        <color rgb="000E6B4F"/>
        <sz val="11"/>
      </font>
      <fill>
        <patternFill patternType="solid">
          <fgColor rgb="00D9EFE4"/>
        </patternFill>
      </fill>
    </dxf>
    <dxf>
      <font>
        <name val="Calibri"/>
        <b val="1"/>
        <color rgb="009F2D12"/>
        <sz val="11"/>
      </font>
      <fill>
        <patternFill patternType="solid">
          <fgColor rgb="00FDE8D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Monthly support cost</a:t>
            </a:r>
          </a:p>
        </rich>
      </tx>
    </title>
    <plotArea>
      <barChart>
        <barDir val="col"/>
        <grouping val="stacked"/>
        <ser>
          <idx val="0"/>
          <order val="0"/>
          <tx>
            <strRef>
              <f>'Summary'!B17</f>
            </strRef>
          </tx>
          <spPr>
            <a:ln xmlns:a="http://schemas.openxmlformats.org/drawingml/2006/main">
              <a:prstDash val="solid"/>
            </a:ln>
          </spPr>
          <cat>
            <numRef>
              <f>'Summary'!$A$18:$A$20</f>
            </numRef>
          </cat>
          <val>
            <numRef>
              <f>'Summary'!$B$18:$B$20</f>
            </numRef>
          </val>
        </ser>
        <ser>
          <idx val="1"/>
          <order val="1"/>
          <tx>
            <strRef>
              <f>'Summary'!C17</f>
            </strRef>
          </tx>
          <spPr>
            <a:ln xmlns:a="http://schemas.openxmlformats.org/drawingml/2006/main">
              <a:prstDash val="solid"/>
            </a:ln>
          </spPr>
          <cat>
            <numRef>
              <f>'Summary'!$A$18:$A$20</f>
            </numRef>
          </cat>
          <val>
            <numRef>
              <f>'Summary'!$C$18:$C$20</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INR</a:t>
                </a:r>
              </a:p>
            </rich>
          </tx>
        </title>
        <numFmt formatCode="₹#,##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21</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0E3B2E"/>
    <outlinePr summaryBelow="1" summaryRight="1"/>
    <pageSetUpPr fitToPage="1"/>
  </sheetPr>
  <dimension ref="A1:E38"/>
  <sheetViews>
    <sheetView showGridLines="0" zoomScale="120" workbookViewId="0">
      <pane ySplit="3" topLeftCell="A4" activePane="bottomLeft" state="frozen"/>
      <selection pane="bottomLeft" activeCell="A1" sqref="A1"/>
    </sheetView>
  </sheetViews>
  <sheetFormatPr baseColWidth="8" defaultRowHeight="15"/>
  <cols>
    <col width="46" customWidth="1" min="1" max="1"/>
    <col width="22" customWidth="1" min="2" max="2"/>
    <col width="46" customWidth="1" min="3" max="3"/>
    <col width="22" customWidth="1" min="4" max="4"/>
    <col width="28" customWidth="1" min="5" max="5"/>
  </cols>
  <sheetData>
    <row r="1" ht="26" customHeight="1">
      <c r="A1" s="1" t="inlineStr">
        <is>
          <t>Cheerio Assist — the numbers</t>
        </is>
      </c>
    </row>
    <row r="2" ht="28" customHeight="1">
      <c r="A2" s="2" t="inlineStr">
        <is>
          <t>Start here. Every figure is a formula. Blue inputs live on Assumptions. North star: human tickets per 100 active businesses. Target for month 3 is the drop in row 8, not a round number chosen first.</t>
        </is>
      </c>
    </row>
    <row r="4">
      <c r="A4" s="3" t="inlineStr">
        <is>
          <t>The queue</t>
        </is>
      </c>
      <c r="C4" s="3" t="inlineStr">
        <is>
          <t>The money</t>
        </is>
      </c>
    </row>
    <row r="5" ht="20" customHeight="1">
      <c r="A5" s="4" t="inlineStr">
        <is>
          <t>Active businesses</t>
        </is>
      </c>
      <c r="B5" s="5">
        <f>Assumptions!C5</f>
        <v/>
      </c>
      <c r="C5" s="4" t="inlineStr">
        <is>
          <t>Cost of one human ticket</t>
        </is>
      </c>
      <c r="D5" s="6">
        <f>Cost!B7</f>
        <v/>
      </c>
    </row>
    <row r="6" ht="20" customHeight="1">
      <c r="A6" s="4" t="inlineStr">
        <is>
          <t>Queries this month</t>
        </is>
      </c>
      <c r="B6" s="5">
        <f>Volume!E9</f>
        <v/>
      </c>
      <c r="C6" s="4" t="inlineStr">
        <is>
          <t>Token cost of one Assist session</t>
        </is>
      </c>
      <c r="D6" s="6">
        <f>Cost!B11</f>
        <v/>
      </c>
    </row>
    <row r="7" ht="20" customHeight="1">
      <c r="A7" s="4" t="inlineStr">
        <is>
          <t>Human tickets per 100 businesses, today</t>
        </is>
      </c>
      <c r="B7" s="7">
        <f>Volume!B15</f>
        <v/>
      </c>
      <c r="C7" s="4" t="inlineStr">
        <is>
          <t>Full Assist cost per query it closes</t>
        </is>
      </c>
      <c r="D7" s="6">
        <f>Cost!B31</f>
        <v/>
      </c>
    </row>
    <row r="8" ht="20" customHeight="1">
      <c r="A8" s="4" t="inlineStr">
        <is>
          <t>Human tickets per 100 businesses, month 3</t>
        </is>
      </c>
      <c r="B8" s="7">
        <f>Volume!B28</f>
        <v/>
      </c>
      <c r="C8" s="4" t="inlineStr">
        <is>
          <t>Support cost today</t>
        </is>
      </c>
      <c r="D8" s="8">
        <f>Cost!B23</f>
        <v/>
      </c>
    </row>
    <row r="9" ht="20" customHeight="1">
      <c r="A9" s="4" t="inlineStr">
        <is>
          <t>Drop in human tickets</t>
        </is>
      </c>
      <c r="B9" s="9">
        <f>Volume!B29</f>
        <v/>
      </c>
      <c r="C9" s="4" t="inlineStr">
        <is>
          <t>Support cost in month 3</t>
        </is>
      </c>
      <c r="D9" s="8">
        <f>Cost!B25</f>
        <v/>
      </c>
    </row>
    <row r="10" ht="20" customHeight="1">
      <c r="C10" s="4" t="inlineStr">
        <is>
          <t>Saving per month</t>
        </is>
      </c>
      <c r="D10" s="8">
        <f>Cost!B26</f>
        <v/>
      </c>
    </row>
    <row r="11" ht="20" customHeight="1">
      <c r="A11" s="10" t="inlineStr">
        <is>
          <t>Month 1 drop</t>
        </is>
      </c>
      <c r="B11" s="9">
        <f>Roadmap!C19</f>
        <v/>
      </c>
      <c r="C11" s="10" t="inlineStr">
        <is>
          <t>Saving per rupee spent on Assist</t>
        </is>
      </c>
      <c r="D11" s="11">
        <f>Billing!B9</f>
        <v/>
      </c>
    </row>
    <row r="12" ht="20" customHeight="1">
      <c r="A12" s="10" t="inlineStr">
        <is>
          <t>Month 2 drop</t>
        </is>
      </c>
      <c r="B12" s="9">
        <f>Roadmap!D19</f>
        <v/>
      </c>
      <c r="C12" s="10" t="inlineStr">
        <is>
          <t>Free beats a ₹49 fee by</t>
        </is>
      </c>
      <c r="D12" s="8">
        <f>Billing!B33</f>
        <v/>
      </c>
    </row>
    <row r="14">
      <c r="A14" s="10" t="inlineStr">
        <is>
          <t>All structural checks</t>
        </is>
      </c>
      <c r="B14" s="12">
        <f>IF(COUNTIF(Audit!B6:B12,"ALERT")+COUNTIF(Audit!B16:B19,"ALERT")=0,"PASS","ALERT")</f>
        <v/>
      </c>
    </row>
    <row r="16">
      <c r="A16" s="3" t="inlineStr">
        <is>
          <t>Cost comparison for the chart</t>
        </is>
      </c>
    </row>
    <row r="17">
      <c r="A17" s="13" t="inlineStr"/>
      <c r="B17" s="13" t="inlineStr">
        <is>
          <t>Human payroll</t>
        </is>
      </c>
      <c r="C17" s="13" t="inlineStr">
        <is>
          <t>Assist operating cost</t>
        </is>
      </c>
    </row>
    <row r="18">
      <c r="A18" s="10" t="inlineStr">
        <is>
          <t>Today</t>
        </is>
      </c>
      <c r="B18" s="8">
        <f>Cost!B23</f>
        <v/>
      </c>
      <c r="C18" s="8">
        <f>0</f>
        <v/>
      </c>
    </row>
    <row r="19">
      <c r="A19" s="10" t="inlineStr">
        <is>
          <t>Month 3, Assist included free</t>
        </is>
      </c>
      <c r="B19" s="8">
        <f>Cost!B24</f>
        <v/>
      </c>
      <c r="C19" s="8">
        <f>Cost!B18</f>
        <v/>
      </c>
    </row>
    <row r="20">
      <c r="A20" s="10" t="inlineStr">
        <is>
          <t>Month 3, if we charge ₹49</t>
        </is>
      </c>
      <c r="B20" s="8">
        <f>Billing!B24</f>
        <v/>
      </c>
      <c r="C20" s="8">
        <f>Billing!B26</f>
        <v/>
      </c>
    </row>
    <row r="38" ht="48" customHeight="1">
      <c r="A38" s="2" t="inlineStr">
        <is>
          <t>Read the third bar as a warning, not a plan. The fee brings in revenue on the Billing sheet and still costs more overall, because human tickets come back. Sources worth knowing: OpenAI gpt-4o-mini prices (developers.openai.com/api/docs/pricing, 12 Oct 2026); USD/INR about 95.8 on 12 Oct 2026; Cheerio list prices and included calls on cheerio.ai/pricing the same day. Agent salary, query mix, resolution rates, and adoption are assumptions.</t>
        </is>
      </c>
    </row>
  </sheetData>
  <mergeCells count="2">
    <mergeCell ref="A2:E2"/>
    <mergeCell ref="A38:E38"/>
  </mergeCells>
  <conditionalFormatting sqref="B14">
    <cfRule type="cellIs" priority="1" operator="equal" dxfId="0">
      <formula>"PASS"</formula>
    </cfRule>
    <cfRule type="cellIs" priority="2" operator="equal" dxfId="1">
      <formula>"ALERT"</formula>
    </cfRule>
  </conditionalFormatting>
  <pageMargins left="0.75" right="0.75" top="1" bottom="1" header="0.5" footer="0.5"/>
  <pageSetup orientation="landscape" paperSize="9" fitToHeight="1" fitToWidth="1"/>
  <headerFooter>
    <oddHeader>&amp;LCheerio Assist  ·  Summary</oddHeader>
    <oddFooter>&amp;CBlue cells are on the Assumptions tab. Everything here is a formula.</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tabColor rgb="001F4E79"/>
    <outlinePr summaryBelow="1" summaryRight="1"/>
    <pageSetUpPr fitToPage="1"/>
  </sheetPr>
  <dimension ref="A1:G68"/>
  <sheetViews>
    <sheetView showGridLines="0" zoomScale="110" workbookViewId="0">
      <pane ySplit="3" topLeftCell="A4" activePane="bottomLeft" state="frozen"/>
      <selection pane="bottomLeft" activeCell="A1" sqref="A1"/>
    </sheetView>
  </sheetViews>
  <sheetFormatPr baseColWidth="8" defaultRowHeight="15"/>
  <cols>
    <col width="38" customWidth="1" min="1" max="1"/>
    <col width="28" customWidth="1" min="2" max="2"/>
    <col width="16" customWidth="1" min="3" max="3"/>
    <col width="18" customWidth="1" min="4" max="4"/>
    <col width="18" customWidth="1" min="5" max="5"/>
    <col width="18" customWidth="1" min="6" max="6"/>
    <col width="62" customWidth="1" min="7" max="7"/>
  </cols>
  <sheetData>
    <row r="1" ht="24" customHeight="1">
      <c r="A1" s="1" t="inlineStr">
        <is>
          <t>Cheerio Assist — inputs</t>
        </is>
      </c>
    </row>
    <row r="2" ht="36" customHeight="1">
      <c r="A2" s="2" t="inlineStr">
        <is>
          <t>Blue cells are the only inputs. Change them and Summary, Volume, Cost, Billing, Roadmap, and Audit all move. Black cells on the other sheets are formulas. Do not paste values over them. These volumes are a guesstimate. Cheerio did not publish ticket counts. If you have the export, replace the blue cells.</t>
        </is>
      </c>
    </row>
    <row r="4">
      <c r="A4" s="3" t="inlineStr">
        <is>
          <t>Company</t>
        </is>
      </c>
    </row>
    <row r="5">
      <c r="A5" s="10" t="inlineStr">
        <is>
          <t>Active businesses</t>
        </is>
      </c>
      <c r="C5" s="14" t="n">
        <v>5000</v>
      </c>
      <c r="D5" t="inlineStr">
        <is>
          <t>businesses</t>
        </is>
      </c>
      <c r="G5" s="2" t="inlineStr">
        <is>
          <t>Given in the brief. Treat as the businesses that log in during a month, not signups all-time.</t>
        </is>
      </c>
    </row>
    <row r="6">
      <c r="A6" s="10" t="inlineStr">
        <is>
          <t>Already solved with no human, before Assist</t>
        </is>
      </c>
      <c r="C6" s="15" t="n">
        <v>0.08</v>
      </c>
      <c r="D6" t="inlineStr">
        <is>
          <t>share of queries</t>
        </is>
      </c>
      <c r="G6" s="2" t="inlineStr">
        <is>
          <t>Help docs already exist, so not every query becomes a ticket today. 8% is a judgment, not a measurement.</t>
        </is>
      </c>
    </row>
    <row r="7">
      <c r="A7" s="10" t="inlineStr">
        <is>
          <t>Month-3 share of queries that open Assist</t>
        </is>
      </c>
      <c r="C7" s="15" t="n">
        <v>0.7</v>
      </c>
      <c r="D7" t="inlineStr">
        <is>
          <t>share of queries</t>
        </is>
      </c>
      <c r="G7" s="2" t="inlineStr">
        <is>
          <t>The other 30% still email or WhatsApp the support line and never see the panel.</t>
        </is>
      </c>
    </row>
    <row r="9">
      <c r="A9" s="3" t="inlineStr">
        <is>
          <t>Who raises the queries</t>
        </is>
      </c>
    </row>
    <row r="10">
      <c r="A10" s="13" t="inlineStr">
        <is>
          <t>Segment</t>
        </is>
      </c>
      <c r="B10" s="13" t="inlineStr">
        <is>
          <t>Share of businesses</t>
        </is>
      </c>
      <c r="C10" s="13" t="inlineStr">
        <is>
          <t>Queries per business / month</t>
        </is>
      </c>
      <c r="D10" s="13" t="inlineStr"/>
      <c r="E10" s="13" t="inlineStr"/>
      <c r="F10" s="13" t="inlineStr"/>
      <c r="G10" s="13" t="inlineStr">
        <is>
          <t>Why this query rate</t>
        </is>
      </c>
    </row>
    <row r="11" ht="28" customHeight="1">
      <c r="A11" s="4" t="inlineStr">
        <is>
          <t>Onboarding or a new channel</t>
        </is>
      </c>
      <c r="B11" s="15" t="n">
        <v>0.2</v>
      </c>
      <c r="C11" s="16" t="n">
        <v>2.5</v>
      </c>
      <c r="G11" s="2" t="inlineStr">
        <is>
          <t>First 45 days, or they added a channel this month. Setup, first template, first workflow.</t>
        </is>
      </c>
    </row>
    <row r="12" ht="28" customHeight="1">
      <c r="A12" s="4" t="inlineStr">
        <is>
          <t>Steady weekly use</t>
        </is>
      </c>
      <c r="B12" s="15" t="n">
        <v>0.65</v>
      </c>
      <c r="C12" s="16" t="n">
        <v>1</v>
      </c>
      <c r="G12" s="2" t="inlineStr">
        <is>
          <t>A campaign, a template, or a silent bot in a typical month. Not every week.</t>
        </is>
      </c>
    </row>
    <row r="13" ht="28" customHeight="1">
      <c r="A13" s="4" t="inlineStr">
        <is>
          <t>Light or seasonal</t>
        </is>
      </c>
      <c r="B13" s="15" t="n">
        <v>0.15</v>
      </c>
      <c r="C13" s="16" t="n">
        <v>0.4</v>
      </c>
      <c r="G13" s="2" t="inlineStr">
        <is>
          <t>They pay, they rarely log in. A bill or a login problem a couple of times a year.</t>
        </is>
      </c>
    </row>
    <row r="14">
      <c r="A14" s="10" t="inlineStr">
        <is>
          <t>Shares must equal 100%</t>
        </is>
      </c>
      <c r="B14" s="9">
        <f>SUM(B11:B13)</f>
        <v/>
      </c>
      <c r="G14" s="10">
        <f>IF(ABS(B14-1)&lt;0.0001,"OK","Fix the shares. They have to sum to 100%.")</f>
        <v/>
      </c>
    </row>
    <row r="16" ht="20" customHeight="1">
      <c r="A16" s="3" t="inlineStr">
        <is>
          <t>What the queries are, and how many Assist can finish</t>
        </is>
      </c>
    </row>
    <row r="17">
      <c r="A17" s="13" t="inlineStr">
        <is>
          <t>Issue</t>
        </is>
      </c>
      <c r="B17" s="13" t="inlineStr">
        <is>
          <t>Share of queries</t>
        </is>
      </c>
      <c r="C17" s="13" t="inlineStr">
        <is>
          <t>Playbook can finish</t>
        </is>
      </c>
      <c r="D17" s="13" t="inlineStr">
        <is>
          <t>Live in month 1</t>
        </is>
      </c>
      <c r="E17" s="13" t="inlineStr">
        <is>
          <t>Live in month 2</t>
        </is>
      </c>
      <c r="F17" s="13" t="inlineStr">
        <is>
          <t>Live in month 3</t>
        </is>
      </c>
      <c r="G17" s="13" t="inlineStr">
        <is>
          <t>What the rate means</t>
        </is>
      </c>
    </row>
    <row r="18" ht="36" customHeight="1">
      <c r="A18" s="4" t="inlineStr">
        <is>
          <t>Template rejected</t>
        </is>
      </c>
      <c r="B18" s="15" t="n">
        <v>0.26</v>
      </c>
      <c r="C18" s="15" t="n">
        <v>0.72</v>
      </c>
      <c r="D18" s="17" t="n">
        <v>1</v>
      </c>
      <c r="E18" s="17" t="n">
        <v>1</v>
      </c>
      <c r="F18" s="17" t="n">
        <v>1</v>
      </c>
      <c r="G18" s="2" t="inlineStr">
        <is>
          <t>Name format, Utility vs Marketing, missing variable example. A second rejection goes to a person. I would not let Assist keep editing.</t>
        </is>
      </c>
    </row>
    <row r="19" ht="36" customHeight="1">
      <c r="A19" s="4" t="inlineStr">
        <is>
          <t>WhatsApp setup stuck</t>
        </is>
      </c>
      <c r="B19" s="15" t="n">
        <v>0.2</v>
      </c>
      <c r="C19" s="15" t="n">
        <v>0.48</v>
      </c>
      <c r="D19" s="17" t="n">
        <v>0</v>
      </c>
      <c r="E19" s="17" t="n">
        <v>1</v>
      </c>
      <c r="F19" s="17" t="n">
        <v>1</v>
      </c>
      <c r="G19" s="2" t="inlineStr">
        <is>
          <t>Assist can show the incomplete step. It cannot make someone a Facebook admin, or free a number that is still on the WhatsApp app.</t>
        </is>
      </c>
    </row>
    <row r="20" ht="36" customHeight="1">
      <c r="A20" s="4" t="inlineStr">
        <is>
          <t>Workflow did not reply</t>
        </is>
      </c>
      <c r="B20" s="15" t="n">
        <v>0.16</v>
      </c>
      <c r="C20" s="15" t="n">
        <v>0.62</v>
      </c>
      <c r="D20" s="17" t="n">
        <v>0</v>
      </c>
      <c r="E20" s="17" t="n">
        <v>0</v>
      </c>
      <c r="F20" s="17" t="n">
        <v>1</v>
      </c>
      <c r="G20" s="2" t="inlineStr">
        <is>
          <t>Toggle off, keyword does not match, or the template is not approved. Redesigning the flow stays with a person.</t>
        </is>
      </c>
    </row>
    <row r="21" ht="36" customHeight="1">
      <c r="A21" s="4" t="inlineStr">
        <is>
          <t>Campaign did not send</t>
        </is>
      </c>
      <c r="B21" s="15" t="n">
        <v>0.12</v>
      </c>
      <c r="C21" s="15" t="n">
        <v>0.75</v>
      </c>
      <c r="D21" s="17" t="n">
        <v>1</v>
      </c>
      <c r="E21" s="17" t="n">
        <v>1</v>
      </c>
      <c r="F21" s="17" t="n">
        <v>1</v>
      </c>
      <c r="G21" s="2" t="inlineStr">
        <is>
          <t>Usually the template. Status is a fact Assist can show. This is separate from a money question.</t>
        </is>
      </c>
    </row>
    <row r="22" ht="36" customHeight="1">
      <c r="A22" s="4" t="inlineStr">
        <is>
          <t>Why was I charged?</t>
        </is>
      </c>
      <c r="B22" s="15" t="n">
        <v>0.06</v>
      </c>
      <c r="C22" s="15" t="n">
        <v>0.1</v>
      </c>
      <c r="D22" s="17" t="n">
        <v>1</v>
      </c>
      <c r="E22" s="17" t="n">
        <v>1</v>
      </c>
      <c r="F22" s="17" t="n">
        <v>1</v>
      </c>
      <c r="G22" s="2" t="inlineStr">
        <is>
          <t>Assist explains the debit and stops. Almost everyone with a money question still wants a person. 10% accept the explanation.</t>
        </is>
      </c>
    </row>
    <row r="23" ht="36" customHeight="1">
      <c r="A23" s="4" t="inlineStr">
        <is>
          <t>Integration not syncing</t>
        </is>
      </c>
      <c r="B23" s="15" t="n">
        <v>0.1</v>
      </c>
      <c r="C23" s="15" t="n">
        <v>0.35</v>
      </c>
      <c r="D23" s="17" t="n">
        <v>0</v>
      </c>
      <c r="E23" s="17" t="n">
        <v>0</v>
      </c>
      <c r="F23" s="17" t="n">
        <v>1</v>
      </c>
      <c r="G23" s="2" t="inlineStr">
        <is>
          <t>Empty Shopify connection or blank webhook is checkable. The other company's error is not.</t>
        </is>
      </c>
    </row>
    <row r="24" ht="36" customHeight="1">
      <c r="A24" s="4" t="inlineStr">
        <is>
          <t>Other</t>
        </is>
      </c>
      <c r="B24" s="15" t="n">
        <v>0.1</v>
      </c>
      <c r="C24" s="15" t="n">
        <v>0.1</v>
      </c>
      <c r="D24" s="17" t="n">
        <v>0</v>
      </c>
      <c r="E24" s="17" t="n">
        <v>0</v>
      </c>
      <c r="F24" s="17" t="n">
        <v>1</v>
      </c>
      <c r="G24" s="2" t="inlineStr">
        <is>
          <t>Bugs, access, and one-off asks. A playbook should barely touch these.</t>
        </is>
      </c>
    </row>
    <row r="25">
      <c r="A25" s="10" t="inlineStr">
        <is>
          <t>Shares must equal 100%</t>
        </is>
      </c>
      <c r="B25" s="9">
        <f>SUM(B18:B24)</f>
        <v/>
      </c>
      <c r="G25" s="4">
        <f>IF(ABS(B25-1)&lt;0.0001,"OK","Fix the shares. They have to sum to 100%.")</f>
        <v/>
      </c>
    </row>
    <row r="27">
      <c r="A27" s="3" t="inlineStr">
        <is>
          <t>Human support</t>
        </is>
      </c>
    </row>
    <row r="28">
      <c r="A28" s="4" t="inlineStr">
        <is>
          <t>Agent monthly CTC</t>
        </is>
      </c>
      <c r="C28" s="18" t="n">
        <v>40000</v>
      </c>
      <c r="D28" s="19" t="inlineStr">
        <is>
          <t>INR / month</t>
        </is>
      </c>
      <c r="G28" s="19" t="inlineStr">
        <is>
          <t>Assumption for an L1 agent. Not a salary survey. Edit it.</t>
        </is>
      </c>
    </row>
    <row r="29">
      <c r="A29" s="4" t="inlineStr">
        <is>
          <t>Load for benefits, tools, and a lead's time</t>
        </is>
      </c>
      <c r="C29" s="15" t="n">
        <v>0.2</v>
      </c>
      <c r="D29" s="19" t="inlineStr">
        <is>
          <t>share of CTC</t>
        </is>
      </c>
      <c r="G29" s="19" t="inlineStr">
        <is>
          <t>Loaded cost = CTC × (1 + this).</t>
        </is>
      </c>
    </row>
    <row r="30">
      <c r="A30" s="4" t="inlineStr">
        <is>
          <t>Tickets one agent finishes in a day</t>
        </is>
      </c>
      <c r="C30" s="17" t="n">
        <v>10</v>
      </c>
      <c r="D30" s="19" t="inlineStr">
        <is>
          <t>tickets</t>
        </is>
      </c>
      <c r="G30" s="19" t="inlineStr">
        <is>
          <t>How-to tickets. Deep bugs are slower. If you believe 8, type 8.</t>
        </is>
      </c>
    </row>
    <row r="31">
      <c r="A31" s="4" t="inlineStr">
        <is>
          <t>Working days in a month</t>
        </is>
      </c>
      <c r="C31" s="17" t="n">
        <v>22</v>
      </c>
      <c r="D31" s="19" t="inlineStr">
        <is>
          <t>days</t>
        </is>
      </c>
      <c r="G31" s="19" t="inlineStr"/>
    </row>
    <row r="33">
      <c r="A33" s="3" t="inlineStr">
        <is>
          <t>Model — gpt-4o-mini</t>
        </is>
      </c>
    </row>
    <row r="34" ht="32" customHeight="1">
      <c r="A34" s="2" t="inlineStr">
        <is>
          <t>Prices from OpenAI's API pricing page, checked 12 Oct 2026: gpt-4o-mini input $0.15, cached input $0.075, output $0.60 per 1M tokens. https://developers.openai.com/api/docs/pricing  —  USD/INR is the 12 Oct 2026 market, about ₹95.75 to ₹95.83 per dollar. Both are inputs.</t>
        </is>
      </c>
    </row>
    <row r="35">
      <c r="A35" s="4" t="inlineStr">
        <is>
          <t>Input price</t>
        </is>
      </c>
      <c r="C35" s="20" t="n">
        <v>0.15</v>
      </c>
      <c r="D35" s="19" t="inlineStr">
        <is>
          <t>USD per 1M tokens</t>
        </is>
      </c>
    </row>
    <row r="36">
      <c r="A36" s="4" t="inlineStr">
        <is>
          <t>Cached input price</t>
        </is>
      </c>
      <c r="C36" s="20" t="n">
        <v>0.075</v>
      </c>
      <c r="D36" s="19" t="inlineStr">
        <is>
          <t>USD per 1M tokens</t>
        </is>
      </c>
    </row>
    <row r="37">
      <c r="A37" s="4" t="inlineStr">
        <is>
          <t>Output price</t>
        </is>
      </c>
      <c r="C37" s="20" t="n">
        <v>0.6</v>
      </c>
      <c r="D37" s="19" t="inlineStr">
        <is>
          <t>USD per 1M tokens</t>
        </is>
      </c>
    </row>
    <row r="38">
      <c r="A38" s="4" t="inlineStr">
        <is>
          <t>Rupees per US dollar</t>
        </is>
      </c>
      <c r="C38" s="21" t="n">
        <v>95.8</v>
      </c>
      <c r="D38" s="19" t="inlineStr">
        <is>
          <t>INR</t>
        </is>
      </c>
    </row>
    <row r="39">
      <c r="A39" s="4" t="inlineStr">
        <is>
          <t>Cached tokens per session</t>
        </is>
      </c>
      <c r="C39" s="14" t="n">
        <v>2500</v>
      </c>
      <c r="D39" s="19" t="inlineStr">
        <is>
          <t>tokens</t>
        </is>
      </c>
      <c r="G39" s="2" t="inlineStr">
        <is>
          <t>Playbook text plus a short account snapshot. Cached because the playbook repeats across sessions.</t>
        </is>
      </c>
    </row>
    <row r="40">
      <c r="A40" s="4" t="inlineStr">
        <is>
          <t>Fresh input tokens per session</t>
        </is>
      </c>
      <c r="C40" s="14" t="n">
        <v>900</v>
      </c>
      <c r="D40" s="19" t="inlineStr">
        <is>
          <t>tokens</t>
        </is>
      </c>
      <c r="G40" s="19" t="inlineStr">
        <is>
          <t>The user's words plus the live status that changed this session.</t>
        </is>
      </c>
    </row>
    <row r="41">
      <c r="A41" s="4" t="inlineStr">
        <is>
          <t>Output tokens per session</t>
        </is>
      </c>
      <c r="C41" s="14" t="n">
        <v>450</v>
      </c>
      <c r="D41" s="19" t="inlineStr">
        <is>
          <t>tokens</t>
        </is>
      </c>
    </row>
    <row r="42">
      <c r="A42" s="4" t="inlineStr">
        <is>
          <t>Share of sessions with a follow-up turn</t>
        </is>
      </c>
      <c r="C42" s="15" t="n">
        <v>0.2</v>
      </c>
      <c r="D42" s="19" t="inlineStr">
        <is>
          <t>share</t>
        </is>
      </c>
    </row>
    <row r="43">
      <c r="A43" s="4" t="inlineStr">
        <is>
          <t>Follow-up fresh input tokens</t>
        </is>
      </c>
      <c r="C43" s="14" t="n">
        <v>600</v>
      </c>
      <c r="D43" s="19" t="inlineStr">
        <is>
          <t>tokens</t>
        </is>
      </c>
    </row>
    <row r="44">
      <c r="A44" s="4" t="inlineStr">
        <is>
          <t>Follow-up output tokens</t>
        </is>
      </c>
      <c r="C44" s="14" t="n">
        <v>350</v>
      </c>
      <c r="D44" s="19" t="inlineStr">
        <is>
          <t>tokens</t>
        </is>
      </c>
    </row>
    <row r="46">
      <c r="A46" s="3" t="inlineStr">
        <is>
          <t>Other monthly cost</t>
        </is>
      </c>
    </row>
    <row r="47">
      <c r="A47" s="4" t="inlineStr">
        <is>
          <t>Hosting, logs, and search index</t>
        </is>
      </c>
      <c r="C47" s="18" t="n">
        <v>15000</v>
      </c>
      <c r="G47" s="2" t="inlineStr">
        <is>
          <t>A small flat cost. Tokens are not the bill that matters.</t>
        </is>
      </c>
    </row>
    <row r="48">
      <c r="A48" s="4" t="inlineStr">
        <is>
          <t>Playbook owner</t>
        </is>
      </c>
      <c r="C48" s="18" t="n">
        <v>55000</v>
      </c>
      <c r="G48" s="2" t="inlineStr">
        <is>
          <t>One person who edits the five playbooks and reads the weekly sample. Without them the answers rot.</t>
        </is>
      </c>
    </row>
    <row r="49">
      <c r="A49" s="4" t="inlineStr">
        <is>
          <t>Owner hours in a month</t>
        </is>
      </c>
      <c r="C49" s="17" t="n">
        <v>176</v>
      </c>
      <c r="G49" s="2" t="inlineStr">
        <is>
          <t>22 × 8. Used only if someone later prices a human hour.</t>
        </is>
      </c>
    </row>
    <row r="51">
      <c r="A51" s="3" t="inlineStr">
        <is>
          <t>The price I would not charge</t>
        </is>
      </c>
    </row>
    <row r="52">
      <c r="A52" s="2" t="inlineStr">
        <is>
          <t>Kept here so the Billing sheet can show the counterfactual. The recommendation is to include Assist free. A fee is an input so you can see the tickets come back.</t>
        </is>
      </c>
    </row>
    <row r="53">
      <c r="A53" s="10" t="inlineStr">
        <is>
          <t>Fee per Assist resolution</t>
        </is>
      </c>
      <c r="C53" s="18" t="n">
        <v>49</v>
      </c>
      <c r="D53" t="inlineStr">
        <is>
          <t>INR</t>
        </is>
      </c>
      <c r="G53" s="19" t="inlineStr">
        <is>
          <t>Charged only when Assist closes it. Sessions that still need a person are free in this counterfactual.</t>
        </is>
      </c>
    </row>
    <row r="54">
      <c r="A54" s="10" t="inlineStr">
        <is>
          <t>Adoption if that fee exists</t>
        </is>
      </c>
      <c r="C54" s="15" t="n">
        <v>0.35</v>
      </c>
      <c r="G54" s="2" t="inlineStr">
        <is>
          <t>Half of the free-case adoption. People who will not pay walk back to the human inbox, which is still free.</t>
        </is>
      </c>
    </row>
    <row r="56">
      <c r="A56" s="3" t="inlineStr">
        <is>
          <t>Roadmap adoption, on the issues marked live that month</t>
        </is>
      </c>
    </row>
    <row r="57">
      <c r="A57" s="10" t="inlineStr">
        <is>
          <t>Month 1 adoption</t>
        </is>
      </c>
      <c r="C57" s="15" t="n">
        <v>0.45</v>
      </c>
      <c r="G57" s="19" t="inlineStr">
        <is>
          <t>Template, campaign-did-not-send, and the charge question. The panel is new.</t>
        </is>
      </c>
    </row>
    <row r="58">
      <c r="A58" s="10" t="inlineStr">
        <is>
          <t>Month 2 adoption</t>
        </is>
      </c>
      <c r="C58" s="15" t="n">
        <v>0.6</v>
      </c>
      <c r="G58" s="19" t="inlineStr">
        <is>
          <t>WhatsApp setup joins. Adoption rises because the panel is already on the failed campaign.</t>
        </is>
      </c>
    </row>
    <row r="59">
      <c r="A59" s="10" t="inlineStr">
        <is>
          <t>Month 3 adoption</t>
        </is>
      </c>
      <c r="C59" s="9">
        <f>C7</f>
        <v/>
      </c>
      <c r="G59" s="19" t="inlineStr">
        <is>
          <t>Tied to the month-3 input above so the roadmap cannot drift from the main case.</t>
        </is>
      </c>
    </row>
    <row r="61">
      <c r="A61" s="3" t="inlineStr">
        <is>
          <t>Audit thresholds and a worked example</t>
        </is>
      </c>
    </row>
    <row r="62">
      <c r="A62" s="2" t="inlineStr">
        <is>
          <t>The worked example is sample close data so the Audit sheet's PASS/ALERT logic is visible. Replace it with the real invoice and the real sample when the month closes.</t>
        </is>
      </c>
    </row>
    <row r="63">
      <c r="A63" s="4" t="inlineStr">
        <is>
          <t>Invoice may exceed logged token cost by</t>
        </is>
      </c>
      <c r="C63" s="15" t="n">
        <v>0.15</v>
      </c>
      <c r="G63" s="2" t="inlineStr">
        <is>
          <t>Alert if the OpenAI invoice is higher than logs × (1 + this).</t>
        </is>
      </c>
    </row>
    <row r="64">
      <c r="A64" s="4" t="inlineStr">
        <is>
          <t>Repeat contact within 7 days — alert above</t>
        </is>
      </c>
      <c r="C64" s="15" t="n">
        <v>0.12</v>
      </c>
      <c r="G64" s="2" t="inlineStr">
        <is>
          <t>Same issue, another contact. Deflection that bounces back.</t>
        </is>
      </c>
    </row>
    <row r="65">
      <c r="A65" s="4" t="inlineStr">
        <is>
          <t>Worked example — repeat rate observed</t>
        </is>
      </c>
      <c r="C65" s="15" t="n">
        <v>0.07000000000000001</v>
      </c>
      <c r="G65" s="2" t="inlineStr">
        <is>
          <t>Sample. Type the measured rate at month close.</t>
        </is>
      </c>
    </row>
    <row r="66">
      <c r="A66" s="4" t="inlineStr">
        <is>
          <t>Worked example — wrong one-click fixes in 30</t>
        </is>
      </c>
      <c r="C66" s="17" t="n">
        <v>0</v>
      </c>
      <c r="G66" s="2" t="inlineStr">
        <is>
          <t>Sample. One wrong edit is enough to pull that playbook's button.</t>
        </is>
      </c>
    </row>
    <row r="67">
      <c r="A67" s="4" t="inlineStr">
        <is>
          <t>Worked example — wallet or send actions by Assist</t>
        </is>
      </c>
      <c r="C67" s="17" t="n">
        <v>0</v>
      </c>
      <c r="G67" s="2" t="inlineStr">
        <is>
          <t>Must stay zero. Assist does not move money or message guests.</t>
        </is>
      </c>
    </row>
    <row r="68">
      <c r="A68" s="4" t="inlineStr">
        <is>
          <t>Worked example — OpenAI invoice</t>
        </is>
      </c>
      <c r="C68" s="18" t="n">
        <v>280</v>
      </c>
      <c r="G68" s="2" t="inlineStr">
        <is>
          <t>Sample invoice. Expected log cost is about ₹265, so 280 should PASS.</t>
        </is>
      </c>
    </row>
  </sheetData>
  <autoFilter ref="A17:G24"/>
  <mergeCells count="4">
    <mergeCell ref="A62:G62"/>
    <mergeCell ref="A2:G2"/>
    <mergeCell ref="A34:G34"/>
    <mergeCell ref="A52:G52"/>
  </mergeCells>
  <dataValidations count="1">
    <dataValidation sqref="D18:F24" showDropDown="0" showInputMessage="0" showErrorMessage="0" allowBlank="0" errorTitle="Live flag" error="Use 0 or 1" type="list">
      <formula1>"0,1"</formula1>
    </dataValidation>
  </dataValidations>
  <pageMargins left="0.75" right="0.75" top="1" bottom="1" header="0.5" footer="0.5"/>
  <pageSetup orientation="landscape" paperSize="9" fitToHeight="3" fitToWidth="1"/>
  <headerFooter>
    <oddHeader>&amp;LCheerio Assist  ·  Assumptions  ·  blue = input</oddHeader>
    <oddFooter/>
    <evenHeader/>
    <evenFooter/>
    <firstHeader/>
    <firstFooter/>
  </headerFooter>
</worksheet>
</file>

<file path=xl/worksheets/sheet3.xml><?xml version="1.0" encoding="utf-8"?>
<worksheet xmlns="http://schemas.openxmlformats.org/spreadsheetml/2006/main">
  <sheetPr>
    <tabColor rgb="000E6B4F"/>
    <outlinePr summaryBelow="1" summaryRight="1"/>
    <pageSetUpPr fitToPage="1"/>
  </sheetPr>
  <dimension ref="A1:H33"/>
  <sheetViews>
    <sheetView showGridLines="0" workbookViewId="0">
      <pane ySplit="3" topLeftCell="A4" activePane="bottomLeft" state="frozen"/>
      <selection pane="bottomLeft" activeCell="A1" sqref="A1"/>
    </sheetView>
  </sheetViews>
  <sheetFormatPr baseColWidth="8" defaultRowHeight="15"/>
  <cols>
    <col width="34" customWidth="1" min="1" max="1"/>
    <col width="22" customWidth="1" min="2" max="2"/>
    <col width="24" customWidth="1" min="3" max="3"/>
    <col width="28" customWidth="1" min="4" max="4"/>
    <col width="26" customWidth="1" min="5" max="5"/>
    <col width="28" customWidth="1" min="6" max="6"/>
    <col width="24" customWidth="1" min="7" max="7"/>
    <col width="26" customWidth="1" min="8" max="8"/>
  </cols>
  <sheetData>
    <row r="1">
      <c r="A1" s="1" t="inlineStr">
        <is>
          <t>Query volume</t>
        </is>
      </c>
    </row>
    <row r="2" ht="32" customHeight="1">
      <c r="A2" s="2" t="inlineStr">
        <is>
          <t>Every number on this sheet is a formula pointed at Assumptions. A query becomes a human ticket unless someone finishes it with no ticket. Today that is only the unaided share. In month 3 it is the unaided share for people who never open Assist, plus the playbook for people who do.</t>
        </is>
      </c>
    </row>
    <row r="4">
      <c r="A4" s="3" t="inlineStr">
        <is>
          <t>Queries this month</t>
        </is>
      </c>
    </row>
    <row r="5">
      <c r="A5" s="13" t="inlineStr">
        <is>
          <t>Segment</t>
        </is>
      </c>
      <c r="B5" s="13" t="inlineStr">
        <is>
          <t>Share of businesses</t>
        </is>
      </c>
      <c r="C5" s="13" t="inlineStr">
        <is>
          <t>Businesses</t>
        </is>
      </c>
      <c r="D5" s="13" t="inlineStr">
        <is>
          <t>Queries per business</t>
        </is>
      </c>
      <c r="E5" s="13" t="inlineStr">
        <is>
          <t>Queries</t>
        </is>
      </c>
    </row>
    <row r="6">
      <c r="A6" s="12">
        <f>Assumptions!A11</f>
        <v/>
      </c>
      <c r="B6" s="9">
        <f>Assumptions!B11</f>
        <v/>
      </c>
      <c r="C6" s="5">
        <f>Assumptions!$C$5*B6</f>
        <v/>
      </c>
      <c r="D6" s="7">
        <f>Assumptions!C11</f>
        <v/>
      </c>
      <c r="E6" s="22">
        <f>C6*D6</f>
        <v/>
      </c>
    </row>
    <row r="7">
      <c r="A7" s="12">
        <f>Assumptions!A12</f>
        <v/>
      </c>
      <c r="B7" s="9">
        <f>Assumptions!B12</f>
        <v/>
      </c>
      <c r="C7" s="5">
        <f>Assumptions!$C$5*B7</f>
        <v/>
      </c>
      <c r="D7" s="7">
        <f>Assumptions!C12</f>
        <v/>
      </c>
      <c r="E7" s="22">
        <f>C7*D7</f>
        <v/>
      </c>
    </row>
    <row r="8">
      <c r="A8" s="12">
        <f>Assumptions!A13</f>
        <v/>
      </c>
      <c r="B8" s="9">
        <f>Assumptions!B13</f>
        <v/>
      </c>
      <c r="C8" s="5">
        <f>Assumptions!$C$5*B8</f>
        <v/>
      </c>
      <c r="D8" s="7">
        <f>Assumptions!C13</f>
        <v/>
      </c>
      <c r="E8" s="22">
        <f>C8*D8</f>
        <v/>
      </c>
    </row>
    <row r="9">
      <c r="A9" s="23" t="inlineStr">
        <is>
          <t>Total</t>
        </is>
      </c>
      <c r="B9" s="9">
        <f>SUM(B6:B8)</f>
        <v/>
      </c>
      <c r="C9" s="5">
        <f>SUM(C6:C8)</f>
        <v/>
      </c>
      <c r="E9" s="22">
        <f>SUM(E6:E8)</f>
        <v/>
      </c>
    </row>
    <row r="11">
      <c r="A11" s="3" t="inlineStr">
        <is>
          <t>Today, before Assist</t>
        </is>
      </c>
    </row>
    <row r="12">
      <c r="A12" s="4" t="inlineStr">
        <is>
          <t>Queries</t>
        </is>
      </c>
      <c r="B12" s="22">
        <f>E9</f>
        <v/>
      </c>
      <c r="E12" s="19" t="inlineStr">
        <is>
          <t>From the segments above.</t>
        </is>
      </c>
    </row>
    <row r="13">
      <c r="A13" s="4" t="inlineStr">
        <is>
          <t>Already closed with no human</t>
        </is>
      </c>
      <c r="B13" s="22">
        <f>B12*Assumptions!C6</f>
        <v/>
      </c>
      <c r="E13" s="19" t="inlineStr">
        <is>
          <t>The 8% (or whatever you typed).</t>
        </is>
      </c>
    </row>
    <row r="14">
      <c r="A14" s="4" t="inlineStr">
        <is>
          <t>Human tickets</t>
        </is>
      </c>
      <c r="B14" s="22">
        <f>B12-B13</f>
        <v/>
      </c>
      <c r="E14" s="19" t="inlineStr">
        <is>
          <t>This is the queue.</t>
        </is>
      </c>
    </row>
    <row r="15">
      <c r="A15" s="4" t="inlineStr">
        <is>
          <t>Human tickets per 100 active businesses</t>
        </is>
      </c>
      <c r="B15" s="7">
        <f>B14/Assumptions!C5*100</f>
        <v/>
      </c>
      <c r="E15" s="19" t="inlineStr">
        <is>
          <t>North star, today.</t>
        </is>
      </c>
    </row>
    <row r="17">
      <c r="A17" s="3" t="inlineStr">
        <is>
          <t>Month 3, with Assist</t>
        </is>
      </c>
    </row>
    <row r="18" ht="30" customHeight="1">
      <c r="A18" s="13" t="inlineStr">
        <is>
          <t>Issue</t>
        </is>
      </c>
      <c r="B18" s="13" t="inlineStr">
        <is>
          <t>Queries</t>
        </is>
      </c>
      <c r="C18" s="13" t="inlineStr">
        <is>
          <t>Playbook finish rate</t>
        </is>
      </c>
      <c r="D18" s="13" t="inlineStr">
        <is>
          <t>Adoption on this issue</t>
        </is>
      </c>
      <c r="E18" s="13" t="inlineStr">
        <is>
          <t>Share closed with no human</t>
        </is>
      </c>
      <c r="F18" s="13" t="inlineStr">
        <is>
          <t>Closed with no human</t>
        </is>
      </c>
      <c r="G18" s="13" t="inlineStr">
        <is>
          <t>Human tickets</t>
        </is>
      </c>
      <c r="H18" s="13" t="inlineStr">
        <is>
          <t>Closed by Assist itself</t>
        </is>
      </c>
    </row>
    <row r="19">
      <c r="A19" s="12">
        <f>Assumptions!A18</f>
        <v/>
      </c>
      <c r="B19" s="22">
        <f>$E$9*Assumptions!B18</f>
        <v/>
      </c>
      <c r="C19" s="9">
        <f>Assumptions!C18</f>
        <v/>
      </c>
      <c r="D19" s="9">
        <f>Assumptions!$C$7*Assumptions!F18</f>
        <v/>
      </c>
      <c r="E19" s="9">
        <f>(1-D19)*Assumptions!$C$6+D19*C19</f>
        <v/>
      </c>
      <c r="F19" s="22">
        <f>B19*E19</f>
        <v/>
      </c>
      <c r="G19" s="22">
        <f>B19-F19</f>
        <v/>
      </c>
      <c r="H19" s="22">
        <f>B19*D19*C19</f>
        <v/>
      </c>
    </row>
    <row r="20">
      <c r="A20" s="12">
        <f>Assumptions!A19</f>
        <v/>
      </c>
      <c r="B20" s="22">
        <f>$E$9*Assumptions!B19</f>
        <v/>
      </c>
      <c r="C20" s="9">
        <f>Assumptions!C19</f>
        <v/>
      </c>
      <c r="D20" s="9">
        <f>Assumptions!$C$7*Assumptions!F19</f>
        <v/>
      </c>
      <c r="E20" s="9">
        <f>(1-D20)*Assumptions!$C$6+D20*C20</f>
        <v/>
      </c>
      <c r="F20" s="22">
        <f>B20*E20</f>
        <v/>
      </c>
      <c r="G20" s="22">
        <f>B20-F20</f>
        <v/>
      </c>
      <c r="H20" s="22">
        <f>B20*D20*C20</f>
        <v/>
      </c>
    </row>
    <row r="21">
      <c r="A21" s="12">
        <f>Assumptions!A20</f>
        <v/>
      </c>
      <c r="B21" s="22">
        <f>$E$9*Assumptions!B20</f>
        <v/>
      </c>
      <c r="C21" s="9">
        <f>Assumptions!C20</f>
        <v/>
      </c>
      <c r="D21" s="9">
        <f>Assumptions!$C$7*Assumptions!F20</f>
        <v/>
      </c>
      <c r="E21" s="9">
        <f>(1-D21)*Assumptions!$C$6+D21*C21</f>
        <v/>
      </c>
      <c r="F21" s="22">
        <f>B21*E21</f>
        <v/>
      </c>
      <c r="G21" s="22">
        <f>B21-F21</f>
        <v/>
      </c>
      <c r="H21" s="22">
        <f>B21*D21*C21</f>
        <v/>
      </c>
    </row>
    <row r="22">
      <c r="A22" s="12">
        <f>Assumptions!A21</f>
        <v/>
      </c>
      <c r="B22" s="22">
        <f>$E$9*Assumptions!B21</f>
        <v/>
      </c>
      <c r="C22" s="9">
        <f>Assumptions!C21</f>
        <v/>
      </c>
      <c r="D22" s="9">
        <f>Assumptions!$C$7*Assumptions!F21</f>
        <v/>
      </c>
      <c r="E22" s="9">
        <f>(1-D22)*Assumptions!$C$6+D22*C22</f>
        <v/>
      </c>
      <c r="F22" s="22">
        <f>B22*E22</f>
        <v/>
      </c>
      <c r="G22" s="22">
        <f>B22-F22</f>
        <v/>
      </c>
      <c r="H22" s="22">
        <f>B22*D22*C22</f>
        <v/>
      </c>
    </row>
    <row r="23">
      <c r="A23" s="12">
        <f>Assumptions!A22</f>
        <v/>
      </c>
      <c r="B23" s="22">
        <f>$E$9*Assumptions!B22</f>
        <v/>
      </c>
      <c r="C23" s="9">
        <f>Assumptions!C22</f>
        <v/>
      </c>
      <c r="D23" s="9">
        <f>Assumptions!$C$7*Assumptions!F22</f>
        <v/>
      </c>
      <c r="E23" s="9">
        <f>(1-D23)*Assumptions!$C$6+D23*C23</f>
        <v/>
      </c>
      <c r="F23" s="22">
        <f>B23*E23</f>
        <v/>
      </c>
      <c r="G23" s="22">
        <f>B23-F23</f>
        <v/>
      </c>
      <c r="H23" s="22">
        <f>B23*D23*C23</f>
        <v/>
      </c>
    </row>
    <row r="24">
      <c r="A24" s="12">
        <f>Assumptions!A23</f>
        <v/>
      </c>
      <c r="B24" s="22">
        <f>$E$9*Assumptions!B23</f>
        <v/>
      </c>
      <c r="C24" s="9">
        <f>Assumptions!C23</f>
        <v/>
      </c>
      <c r="D24" s="9">
        <f>Assumptions!$C$7*Assumptions!F23</f>
        <v/>
      </c>
      <c r="E24" s="9">
        <f>(1-D24)*Assumptions!$C$6+D24*C24</f>
        <v/>
      </c>
      <c r="F24" s="22">
        <f>B24*E24</f>
        <v/>
      </c>
      <c r="G24" s="22">
        <f>B24-F24</f>
        <v/>
      </c>
      <c r="H24" s="22">
        <f>B24*D24*C24</f>
        <v/>
      </c>
    </row>
    <row r="25">
      <c r="A25" s="12">
        <f>Assumptions!A24</f>
        <v/>
      </c>
      <c r="B25" s="22">
        <f>$E$9*Assumptions!B24</f>
        <v/>
      </c>
      <c r="C25" s="9">
        <f>Assumptions!C24</f>
        <v/>
      </c>
      <c r="D25" s="9">
        <f>Assumptions!$C$7*Assumptions!F24</f>
        <v/>
      </c>
      <c r="E25" s="9">
        <f>(1-D25)*Assumptions!$C$6+D25*C25</f>
        <v/>
      </c>
      <c r="F25" s="22">
        <f>B25*E25</f>
        <v/>
      </c>
      <c r="G25" s="22">
        <f>B25-F25</f>
        <v/>
      </c>
      <c r="H25" s="22">
        <f>B25*D25*C25</f>
        <v/>
      </c>
    </row>
    <row r="26">
      <c r="A26" s="23" t="inlineStr">
        <is>
          <t>Month 3 total</t>
        </is>
      </c>
      <c r="B26" s="24">
        <f>SUM(B19:B25)</f>
        <v/>
      </c>
      <c r="F26" s="24">
        <f>SUM(F19:F25)</f>
        <v/>
      </c>
      <c r="G26" s="24">
        <f>SUM(G19:G25)</f>
        <v/>
      </c>
      <c r="H26" s="24">
        <f>SUM(H19:H25)</f>
        <v/>
      </c>
    </row>
    <row r="28">
      <c r="A28" s="4" t="inlineStr">
        <is>
          <t>Human tickets per 100 businesses, month 3</t>
        </is>
      </c>
      <c r="B28" s="7">
        <f>G26/Assumptions!C5*100</f>
        <v/>
      </c>
    </row>
    <row r="29">
      <c r="A29" s="4" t="inlineStr">
        <is>
          <t>Drop in human tickets vs today</t>
        </is>
      </c>
      <c r="B29" s="9">
        <f>(B14-G26)/B14</f>
        <v/>
      </c>
    </row>
    <row r="30">
      <c r="A30" s="4" t="inlineStr">
        <is>
          <t>Queries closed by Assist itself</t>
        </is>
      </c>
      <c r="B30" s="22">
        <f>H26</f>
        <v/>
      </c>
    </row>
    <row r="31">
      <c r="A31" s="4" t="inlineStr">
        <is>
          <t>Sessions that open Assist (we pay tokens on these)</t>
        </is>
      </c>
      <c r="B31" s="22">
        <f>E9*Assumptions!C7</f>
        <v/>
      </c>
    </row>
    <row r="33" ht="36" customHeight="1">
      <c r="A33" s="2" t="inlineStr">
        <is>
          <t>Share closed with no human = (1 − adoption) × unaided rate + adoption × playbook rate. People who never open Assist keep today's unaided rate. People who open it get the playbook rate instead, not on top. Closed by Assist itself = queries × adoption × playbook rate. That is the slice we compare with a human agent.</t>
        </is>
      </c>
    </row>
  </sheetData>
  <mergeCells count="2">
    <mergeCell ref="A33:H33"/>
    <mergeCell ref="A2:H2"/>
  </mergeCells>
  <pageMargins left="0.75" right="0.75" top="1" bottom="1" header="0.5" footer="0.5"/>
  <pageSetup orientation="landscape" paperSize="9" fitToHeight="1" fitToWidth="1"/>
  <headerFooter>
    <oddHeader>&amp;LCheerio Assist  ·  Volume</oddHeader>
    <oddFooter/>
    <evenHeader/>
    <evenFooter/>
    <firstHeader/>
    <firstFooter/>
  </headerFooter>
</worksheet>
</file>

<file path=xl/worksheets/sheet4.xml><?xml version="1.0" encoding="utf-8"?>
<worksheet xmlns="http://schemas.openxmlformats.org/spreadsheetml/2006/main">
  <sheetPr>
    <tabColor rgb="00C2410C"/>
    <outlinePr summaryBelow="1" summaryRight="1"/>
    <pageSetUpPr fitToPage="1"/>
  </sheetPr>
  <dimension ref="A1:C42"/>
  <sheetViews>
    <sheetView showGridLines="0" workbookViewId="0">
      <pane ySplit="3" topLeftCell="A4" activePane="bottomLeft" state="frozen"/>
      <selection pane="bottomLeft" activeCell="A1" sqref="A1"/>
    </sheetView>
  </sheetViews>
  <sheetFormatPr baseColWidth="8" defaultRowHeight="15"/>
  <cols>
    <col width="62" customWidth="1" min="1" max="1"/>
    <col width="22" customWidth="1" min="2" max="2"/>
    <col width="78" customWidth="1" min="3" max="3"/>
  </cols>
  <sheetData>
    <row r="1">
      <c r="A1" s="1" t="inlineStr">
        <is>
          <t>What it costs to run, versus agents</t>
        </is>
      </c>
    </row>
    <row r="2" ht="32" customHeight="1">
      <c r="A2" s="2" t="inlineStr">
        <is>
          <t>Token math is here because the brief asks for it. It is not the decision. The playbook owner and the agents we still need are the decision. Fractional FTE is the fair comparison. Whole people are who you would actually roster. Both are shown.</t>
        </is>
      </c>
    </row>
    <row r="4">
      <c r="A4" s="3" t="inlineStr">
        <is>
          <t>One human ticket</t>
        </is>
      </c>
    </row>
    <row r="5">
      <c r="A5" s="4" t="inlineStr">
        <is>
          <t>Loaded cost of one agent per month</t>
        </is>
      </c>
      <c r="B5" s="8">
        <f>Assumptions!C28*(1+Assumptions!C29)</f>
        <v/>
      </c>
      <c r="C5" s="19" t="inlineStr">
        <is>
          <t>CTC × (1 + load).</t>
        </is>
      </c>
    </row>
    <row r="6">
      <c r="A6" s="4" t="inlineStr">
        <is>
          <t>Tickets one agent finishes in a month</t>
        </is>
      </c>
      <c r="B6" s="5">
        <f>Assumptions!C30*Assumptions!C31</f>
        <v/>
      </c>
      <c r="C6" s="19" t="inlineStr">
        <is>
          <t>Days × tickets per day.</t>
        </is>
      </c>
    </row>
    <row r="7">
      <c r="A7" s="4" t="inlineStr">
        <is>
          <t>Cost of one human ticket</t>
        </is>
      </c>
      <c r="B7" s="6">
        <f>B5/B6</f>
        <v/>
      </c>
      <c r="C7" s="19" t="inlineStr">
        <is>
          <t>This is the number Assist has to beat.</t>
        </is>
      </c>
    </row>
    <row r="9">
      <c r="A9" s="3" t="inlineStr">
        <is>
          <t>Tokens</t>
        </is>
      </c>
    </row>
    <row r="10" ht="32" customHeight="1">
      <c r="A10" s="10" t="inlineStr">
        <is>
          <t>USD per Assist session</t>
        </is>
      </c>
      <c r="B10" s="25">
        <f>Assumptions!C39/1000000*Assumptions!C36+Assumptions!C40/1000000*Assumptions!C35+Assumptions!C41/1000000*Assumptions!C37+Assumptions!C42*(Assumptions!C43/1000000*Assumptions!C35+Assumptions!C44/1000000*Assumptions!C37)</f>
        <v/>
      </c>
      <c r="C10" s="2" t="inlineStr">
        <is>
          <t>Cached tokens at the cached price, fresh tokens at the input price, output at the output price, plus a follow-up on some sessions.</t>
        </is>
      </c>
    </row>
    <row r="11">
      <c r="A11" s="10" t="inlineStr">
        <is>
          <t>INR per Assist session</t>
        </is>
      </c>
      <c r="B11" s="6">
        <f>B10*Assumptions!C38</f>
        <v/>
      </c>
    </row>
    <row r="12">
      <c r="A12" s="10" t="inlineStr">
        <is>
          <t>Sessions in month 3</t>
        </is>
      </c>
      <c r="B12" s="22">
        <f>Volume!B31</f>
        <v/>
      </c>
      <c r="C12" s="19" t="inlineStr">
        <is>
          <t>One session per query that opens Assist, including the ones a person still has to finish.</t>
        </is>
      </c>
    </row>
    <row r="13">
      <c r="A13" s="10" t="inlineStr">
        <is>
          <t>Token bill in month 3</t>
        </is>
      </c>
      <c r="B13" s="6">
        <f>B12*B11</f>
        <v/>
      </c>
    </row>
    <row r="15">
      <c r="A15" s="3" t="inlineStr">
        <is>
          <t>Assist, fully loaded, month 3</t>
        </is>
      </c>
    </row>
    <row r="16">
      <c r="A16" s="4" t="inlineStr">
        <is>
          <t>Hosting, logs, and search</t>
        </is>
      </c>
      <c r="B16" s="8">
        <f>Assumptions!C47</f>
        <v/>
      </c>
      <c r="C16" s="19" t="inlineStr"/>
    </row>
    <row r="17">
      <c r="A17" s="4" t="inlineStr">
        <is>
          <t>Playbook owner</t>
        </is>
      </c>
      <c r="B17" s="8">
        <f>Assumptions!C48</f>
        <v/>
      </c>
      <c r="C17" s="19" t="inlineStr"/>
    </row>
    <row r="18">
      <c r="A18" s="4" t="inlineStr">
        <is>
          <t>Assist operating cost</t>
        </is>
      </c>
      <c r="B18" s="8">
        <f>B13+B16+B17</f>
        <v/>
      </c>
      <c r="C18" s="19" t="inlineStr">
        <is>
          <t>Tokens + hosting + the owner.</t>
        </is>
      </c>
    </row>
    <row r="20">
      <c r="A20" s="3" t="inlineStr">
        <is>
          <t>Company cost — fractional load</t>
        </is>
      </c>
    </row>
    <row r="21">
      <c r="A21" s="4" t="inlineStr">
        <is>
          <t>Agent load today, FTE</t>
        </is>
      </c>
      <c r="B21" s="11">
        <f>Volume!B14/B6</f>
        <v/>
      </c>
      <c r="C21" s="19" t="inlineStr">
        <is>
          <t>Human tickets today ÷ monthly capacity.</t>
        </is>
      </c>
    </row>
    <row r="22">
      <c r="A22" s="4" t="inlineStr">
        <is>
          <t>Agent load in month 3, FTE</t>
        </is>
      </c>
      <c r="B22" s="11">
        <f>Volume!G26/B6</f>
        <v/>
      </c>
      <c r="C22" s="19" t="inlineStr">
        <is>
          <t>Tickets Assist did not close.</t>
        </is>
      </c>
    </row>
    <row r="23">
      <c r="A23" s="4" t="inlineStr">
        <is>
          <t>Human payroll today</t>
        </is>
      </c>
      <c r="B23" s="8">
        <f>B21*B5</f>
        <v/>
      </c>
      <c r="C23" s="19" t="inlineStr"/>
    </row>
    <row r="24">
      <c r="A24" s="4" t="inlineStr">
        <is>
          <t>Human payroll in month 3</t>
        </is>
      </c>
      <c r="B24" s="8">
        <f>B22*B5</f>
        <v/>
      </c>
      <c r="C24" s="19" t="inlineStr"/>
    </row>
    <row r="25">
      <c r="A25" s="4" t="inlineStr">
        <is>
          <t>Total support cost in month 3</t>
        </is>
      </c>
      <c r="B25" s="8">
        <f>B24+B18</f>
        <v/>
      </c>
      <c r="C25" s="19" t="inlineStr">
        <is>
          <t>Remaining agents + Assist operating cost.</t>
        </is>
      </c>
    </row>
    <row r="26">
      <c r="A26" s="4" t="inlineStr">
        <is>
          <t>Monthly saving vs today</t>
        </is>
      </c>
      <c r="B26" s="8">
        <f>B23-B25</f>
        <v/>
      </c>
      <c r="C26" s="19" t="inlineStr">
        <is>
          <t>The number I would manage the quarter against.</t>
        </is>
      </c>
    </row>
    <row r="28">
      <c r="A28" s="3" t="inlineStr">
        <is>
          <t>Same volume, two ways of finishing it</t>
        </is>
      </c>
    </row>
    <row r="29" ht="32" customHeight="1">
      <c r="A29" s="2" t="inlineStr">
        <is>
          <t>Same volume means the queries Assist itself closes. Human cost uses the per-ticket rate. Assist cost loads the entire operating bill onto that slice, tokens included. A portion of those users might have coped with the docs anyway. The company saving in row 26 already nets that out. This block is the unit comparison the brief asks for.</t>
        </is>
      </c>
    </row>
    <row r="30">
      <c r="A30" s="4" t="inlineStr">
        <is>
          <t>Queries Assist closes</t>
        </is>
      </c>
      <c r="B30" s="22">
        <f>Volume!H26</f>
        <v/>
      </c>
      <c r="C30" s="19" t="inlineStr"/>
    </row>
    <row r="31">
      <c r="A31" s="4" t="inlineStr">
        <is>
          <t>Assist cost per one of those</t>
        </is>
      </c>
      <c r="B31" s="6">
        <f>B18/B30</f>
        <v/>
      </c>
      <c r="C31" s="19" t="inlineStr">
        <is>
          <t>Full operating cost ÷ Assist closures.</t>
        </is>
      </c>
    </row>
    <row r="32">
      <c r="A32" s="4" t="inlineStr">
        <is>
          <t>Human cost for the same queries</t>
        </is>
      </c>
      <c r="B32" s="8">
        <f>B30*B7</f>
        <v/>
      </c>
      <c r="C32" s="19" t="inlineStr"/>
    </row>
    <row r="33">
      <c r="A33" s="4" t="inlineStr">
        <is>
          <t>Difference on that slice</t>
        </is>
      </c>
      <c r="B33" s="8">
        <f>B32-B18</f>
        <v/>
      </c>
      <c r="C33" s="19" t="inlineStr">
        <is>
          <t>Human cost minus the whole Assist bill.</t>
        </is>
      </c>
    </row>
    <row r="35">
      <c r="A35" s="3" t="inlineStr">
        <is>
          <t>If you can only hire whole people</t>
        </is>
      </c>
    </row>
    <row r="36">
      <c r="A36" s="4" t="inlineStr">
        <is>
          <t>Agents to roster today</t>
        </is>
      </c>
      <c r="B36" s="26">
        <f>CEILING(B21,1)</f>
        <v/>
      </c>
      <c r="C36" s="19" t="inlineStr">
        <is>
          <t>Rounded up.</t>
        </is>
      </c>
    </row>
    <row r="37">
      <c r="A37" s="4" t="inlineStr">
        <is>
          <t>Agents to roster in month 3</t>
        </is>
      </c>
      <c r="B37" s="26">
        <f>CEILING(B22,1)</f>
        <v/>
      </c>
      <c r="C37" s="19" t="inlineStr">
        <is>
          <t>Rounded up. Do not drop headcount until the ticket rate actually moves.</t>
        </is>
      </c>
    </row>
    <row r="38">
      <c r="A38" s="4" t="inlineStr">
        <is>
          <t>Payroll today, whole people</t>
        </is>
      </c>
      <c r="B38" s="8">
        <f>B36*B5</f>
        <v/>
      </c>
      <c r="C38" s="19" t="inlineStr"/>
    </row>
    <row r="39">
      <c r="A39" s="4" t="inlineStr">
        <is>
          <t>Month-3 cost, whole people + Assist</t>
        </is>
      </c>
      <c r="B39" s="8">
        <f>B37*B5+B18</f>
        <v/>
      </c>
      <c r="C39" s="19" t="inlineStr"/>
    </row>
    <row r="40">
      <c r="A40" s="4" t="inlineStr">
        <is>
          <t>Saving, whole people</t>
        </is>
      </c>
      <c r="B40" s="8">
        <f>B38-B39</f>
        <v/>
      </c>
      <c r="C40" s="19" t="inlineStr"/>
    </row>
    <row r="42" ht="28" customHeight="1">
      <c r="A42" s="2" t="inlineStr">
        <is>
          <t>Meta's WhatsApp message rates are not in this sheet. Assist does not send those messages. A search summary called a dollar rate card a rupee rate. I left it out rather than build a margin on a mislabeled number.</t>
        </is>
      </c>
    </row>
  </sheetData>
  <mergeCells count="3">
    <mergeCell ref="A29:C29"/>
    <mergeCell ref="A42:C42"/>
    <mergeCell ref="A2:C2"/>
  </mergeCells>
  <pageMargins left="0.75" right="0.75" top="1" bottom="1" header="0.5" footer="0.5"/>
  <pageSetup orientation="landscape" paperSize="9" fitToHeight="1" fitToWidth="1"/>
  <headerFooter>
    <oddHeader>&amp;LCheerio Assist  ·  Cost</oddHeader>
    <oddFooter/>
    <evenHeader/>
    <evenFooter/>
    <firstHeader/>
    <firstFooter/>
  </headerFooter>
</worksheet>
</file>

<file path=xl/worksheets/sheet5.xml><?xml version="1.0" encoding="utf-8"?>
<worksheet xmlns="http://schemas.openxmlformats.org/spreadsheetml/2006/main">
  <sheetPr>
    <tabColor rgb="009A6B2F"/>
    <outlinePr summaryBelow="1" summaryRight="1"/>
    <pageSetUpPr fitToPage="1"/>
  </sheetPr>
  <dimension ref="A1:H23"/>
  <sheetViews>
    <sheetView showGridLines="0" workbookViewId="0">
      <pane ySplit="3" topLeftCell="A4" activePane="bottomLeft" state="frozen"/>
      <selection pane="bottomLeft" activeCell="A1" sqref="A1"/>
    </sheetView>
  </sheetViews>
  <sheetFormatPr baseColWidth="8" defaultRowHeight="15"/>
  <cols>
    <col width="32" customWidth="1" min="1" max="1"/>
    <col width="16" customWidth="1" min="2" max="2"/>
    <col width="16" customWidth="1" min="3" max="3"/>
    <col width="16" customWidth="1" min="4" max="4"/>
    <col width="18" customWidth="1" min="5" max="5"/>
    <col width="18" customWidth="1" min="6" max="6"/>
    <col width="18" customWidth="1" min="7" max="7"/>
    <col width="36" customWidth="1" min="8" max="8"/>
  </cols>
  <sheetData>
    <row r="1">
      <c r="A1" s="1" t="inlineStr">
        <is>
          <t>How the 3-month move actually happens</t>
        </is>
      </c>
    </row>
    <row r="2" ht="32" customHeight="1">
      <c r="A2" s="2" t="inlineStr">
        <is>
          <t>Month 1 is only the failed campaign and the template behind it, plus the charge question on that same screen. Month 2 adds WhatsApp setup. Month 3 adds workflows and a thin pass at integrations and everything else. Adoption is an input on Assumptions. Issues that are not live that month stay at today's unaided rate.</t>
        </is>
      </c>
    </row>
    <row r="4">
      <c r="A4" s="3" t="inlineStr">
        <is>
          <t>Per issue</t>
        </is>
      </c>
    </row>
    <row r="5" ht="30" customHeight="1">
      <c r="A5" s="13" t="inlineStr">
        <is>
          <t>Issue</t>
        </is>
      </c>
      <c r="B5" s="13" t="inlineStr">
        <is>
          <t>Queries</t>
        </is>
      </c>
      <c r="C5" s="13" t="inlineStr">
        <is>
          <t>Month 1 human tickets</t>
        </is>
      </c>
      <c r="D5" s="13" t="inlineStr">
        <is>
          <t>Month 2 human tickets</t>
        </is>
      </c>
      <c r="E5" s="13" t="inlineStr">
        <is>
          <t>Month 3 human tickets</t>
        </is>
      </c>
      <c r="F5" s="13" t="inlineStr">
        <is>
          <t>Month 1 adoption used</t>
        </is>
      </c>
      <c r="G5" s="13" t="inlineStr">
        <is>
          <t>Month 2 adoption used</t>
        </is>
      </c>
      <c r="H5" s="13" t="inlineStr">
        <is>
          <t>Month 3 adoption used</t>
        </is>
      </c>
    </row>
    <row r="6">
      <c r="A6" s="12">
        <f>Assumptions!A18</f>
        <v/>
      </c>
      <c r="B6" s="22">
        <f>Volume!B19</f>
        <v/>
      </c>
      <c r="C6" s="22">
        <f>B6*(1-((1-F6)*Assumptions!$C$6+F6*Assumptions!C18))</f>
        <v/>
      </c>
      <c r="D6" s="22">
        <f>B6*(1-((1-G6)*Assumptions!$C$6+G6*Assumptions!C18))</f>
        <v/>
      </c>
      <c r="E6" s="22">
        <f>B6*(1-((1-H6)*Assumptions!$C$6+H6*Assumptions!C18))</f>
        <v/>
      </c>
      <c r="F6" s="9">
        <f>Assumptions!$C$57*Assumptions!D18</f>
        <v/>
      </c>
      <c r="G6" s="9">
        <f>Assumptions!$C$58*Assumptions!E18</f>
        <v/>
      </c>
      <c r="H6" s="9">
        <f>Assumptions!$C$59*Assumptions!F18</f>
        <v/>
      </c>
    </row>
    <row r="7">
      <c r="A7" s="12">
        <f>Assumptions!A19</f>
        <v/>
      </c>
      <c r="B7" s="22">
        <f>Volume!B20</f>
        <v/>
      </c>
      <c r="C7" s="22">
        <f>B7*(1-((1-F7)*Assumptions!$C$6+F7*Assumptions!C19))</f>
        <v/>
      </c>
      <c r="D7" s="22">
        <f>B7*(1-((1-G7)*Assumptions!$C$6+G7*Assumptions!C19))</f>
        <v/>
      </c>
      <c r="E7" s="22">
        <f>B7*(1-((1-H7)*Assumptions!$C$6+H7*Assumptions!C19))</f>
        <v/>
      </c>
      <c r="F7" s="9">
        <f>Assumptions!$C$57*Assumptions!D19</f>
        <v/>
      </c>
      <c r="G7" s="9">
        <f>Assumptions!$C$58*Assumptions!E19</f>
        <v/>
      </c>
      <c r="H7" s="9">
        <f>Assumptions!$C$59*Assumptions!F19</f>
        <v/>
      </c>
    </row>
    <row r="8">
      <c r="A8" s="12">
        <f>Assumptions!A20</f>
        <v/>
      </c>
      <c r="B8" s="22">
        <f>Volume!B21</f>
        <v/>
      </c>
      <c r="C8" s="22">
        <f>B8*(1-((1-F8)*Assumptions!$C$6+F8*Assumptions!C20))</f>
        <v/>
      </c>
      <c r="D8" s="22">
        <f>B8*(1-((1-G8)*Assumptions!$C$6+G8*Assumptions!C20))</f>
        <v/>
      </c>
      <c r="E8" s="22">
        <f>B8*(1-((1-H8)*Assumptions!$C$6+H8*Assumptions!C20))</f>
        <v/>
      </c>
      <c r="F8" s="9">
        <f>Assumptions!$C$57*Assumptions!D20</f>
        <v/>
      </c>
      <c r="G8" s="9">
        <f>Assumptions!$C$58*Assumptions!E20</f>
        <v/>
      </c>
      <c r="H8" s="9">
        <f>Assumptions!$C$59*Assumptions!F20</f>
        <v/>
      </c>
    </row>
    <row r="9">
      <c r="A9" s="12">
        <f>Assumptions!A21</f>
        <v/>
      </c>
      <c r="B9" s="22">
        <f>Volume!B22</f>
        <v/>
      </c>
      <c r="C9" s="22">
        <f>B9*(1-((1-F9)*Assumptions!$C$6+F9*Assumptions!C21))</f>
        <v/>
      </c>
      <c r="D9" s="22">
        <f>B9*(1-((1-G9)*Assumptions!$C$6+G9*Assumptions!C21))</f>
        <v/>
      </c>
      <c r="E9" s="22">
        <f>B9*(1-((1-H9)*Assumptions!$C$6+H9*Assumptions!C21))</f>
        <v/>
      </c>
      <c r="F9" s="9">
        <f>Assumptions!$C$57*Assumptions!D21</f>
        <v/>
      </c>
      <c r="G9" s="9">
        <f>Assumptions!$C$58*Assumptions!E21</f>
        <v/>
      </c>
      <c r="H9" s="9">
        <f>Assumptions!$C$59*Assumptions!F21</f>
        <v/>
      </c>
    </row>
    <row r="10">
      <c r="A10" s="12">
        <f>Assumptions!A22</f>
        <v/>
      </c>
      <c r="B10" s="22">
        <f>Volume!B23</f>
        <v/>
      </c>
      <c r="C10" s="22">
        <f>B10*(1-((1-F10)*Assumptions!$C$6+F10*Assumptions!C22))</f>
        <v/>
      </c>
      <c r="D10" s="22">
        <f>B10*(1-((1-G10)*Assumptions!$C$6+G10*Assumptions!C22))</f>
        <v/>
      </c>
      <c r="E10" s="22">
        <f>B10*(1-((1-H10)*Assumptions!$C$6+H10*Assumptions!C22))</f>
        <v/>
      </c>
      <c r="F10" s="9">
        <f>Assumptions!$C$57*Assumptions!D22</f>
        <v/>
      </c>
      <c r="G10" s="9">
        <f>Assumptions!$C$58*Assumptions!E22</f>
        <v/>
      </c>
      <c r="H10" s="9">
        <f>Assumptions!$C$59*Assumptions!F22</f>
        <v/>
      </c>
    </row>
    <row r="11">
      <c r="A11" s="12">
        <f>Assumptions!A23</f>
        <v/>
      </c>
      <c r="B11" s="22">
        <f>Volume!B24</f>
        <v/>
      </c>
      <c r="C11" s="22">
        <f>B11*(1-((1-F11)*Assumptions!$C$6+F11*Assumptions!C23))</f>
        <v/>
      </c>
      <c r="D11" s="22">
        <f>B11*(1-((1-G11)*Assumptions!$C$6+G11*Assumptions!C23))</f>
        <v/>
      </c>
      <c r="E11" s="22">
        <f>B11*(1-((1-H11)*Assumptions!$C$6+H11*Assumptions!C23))</f>
        <v/>
      </c>
      <c r="F11" s="9">
        <f>Assumptions!$C$57*Assumptions!D23</f>
        <v/>
      </c>
      <c r="G11" s="9">
        <f>Assumptions!$C$58*Assumptions!E23</f>
        <v/>
      </c>
      <c r="H11" s="9">
        <f>Assumptions!$C$59*Assumptions!F23</f>
        <v/>
      </c>
    </row>
    <row r="12">
      <c r="A12" s="12">
        <f>Assumptions!A24</f>
        <v/>
      </c>
      <c r="B12" s="22">
        <f>Volume!B25</f>
        <v/>
      </c>
      <c r="C12" s="22">
        <f>B12*(1-((1-F12)*Assumptions!$C$6+F12*Assumptions!C24))</f>
        <v/>
      </c>
      <c r="D12" s="22">
        <f>B12*(1-((1-G12)*Assumptions!$C$6+G12*Assumptions!C24))</f>
        <v/>
      </c>
      <c r="E12" s="22">
        <f>B12*(1-((1-H12)*Assumptions!$C$6+H12*Assumptions!C24))</f>
        <v/>
      </c>
      <c r="F12" s="9">
        <f>Assumptions!$C$57*Assumptions!D24</f>
        <v/>
      </c>
      <c r="G12" s="9">
        <f>Assumptions!$C$58*Assumptions!E24</f>
        <v/>
      </c>
      <c r="H12" s="9">
        <f>Assumptions!$C$59*Assumptions!F24</f>
        <v/>
      </c>
    </row>
    <row r="13">
      <c r="A13" s="23" t="inlineStr">
        <is>
          <t>Total human tickets</t>
        </is>
      </c>
      <c r="B13" s="24">
        <f>SUM(B6:B12)</f>
        <v/>
      </c>
      <c r="C13" s="24">
        <f>SUM(C6:C12)</f>
        <v/>
      </c>
      <c r="D13" s="24">
        <f>SUM(D6:D12)</f>
        <v/>
      </c>
      <c r="E13" s="24">
        <f>SUM(E6:E12)</f>
        <v/>
      </c>
    </row>
    <row r="15">
      <c r="A15" s="3" t="inlineStr">
        <is>
          <t>Against today</t>
        </is>
      </c>
    </row>
    <row r="16">
      <c r="A16" s="13" t="inlineStr"/>
      <c r="B16" s="13" t="inlineStr">
        <is>
          <t>Today</t>
        </is>
      </c>
      <c r="C16" s="13" t="inlineStr">
        <is>
          <t>Month 1</t>
        </is>
      </c>
      <c r="D16" s="13" t="inlineStr">
        <is>
          <t>Month 2</t>
        </is>
      </c>
      <c r="E16" s="13" t="inlineStr">
        <is>
          <t>Month 3</t>
        </is>
      </c>
    </row>
    <row r="17">
      <c r="A17" s="10" t="inlineStr">
        <is>
          <t>Human tickets</t>
        </is>
      </c>
      <c r="B17" s="22">
        <f>Volume!B14</f>
        <v/>
      </c>
      <c r="C17" s="22">
        <f>C13</f>
        <v/>
      </c>
      <c r="D17" s="22">
        <f>D13</f>
        <v/>
      </c>
      <c r="E17" s="22">
        <f>E13</f>
        <v/>
      </c>
    </row>
    <row r="18">
      <c r="A18" s="10" t="inlineStr">
        <is>
          <t>Per 100 active businesses</t>
        </is>
      </c>
      <c r="B18" s="7">
        <f>B17/Assumptions!$C$5*100</f>
        <v/>
      </c>
      <c r="C18" s="7">
        <f>C17/Assumptions!$C$5*100</f>
        <v/>
      </c>
      <c r="D18" s="7">
        <f>D17/Assumptions!$C$5*100</f>
        <v/>
      </c>
      <c r="E18" s="7">
        <f>E17/Assumptions!$C$5*100</f>
        <v/>
      </c>
    </row>
    <row r="19">
      <c r="A19" s="10" t="inlineStr">
        <is>
          <t>Drop vs today</t>
        </is>
      </c>
      <c r="B19" s="9">
        <f>0</f>
        <v/>
      </c>
      <c r="C19" s="9">
        <f>(B17-C17)/B17</f>
        <v/>
      </c>
      <c r="D19" s="9">
        <f>(B17-D17)/B17</f>
        <v/>
      </c>
      <c r="E19" s="9">
        <f>(B17-E17)/B17</f>
        <v/>
      </c>
    </row>
    <row r="21">
      <c r="A21" s="10" t="inlineStr">
        <is>
          <t>Month 3 on this sheet matches Volume</t>
        </is>
      </c>
      <c r="B21" s="12">
        <f>IF(ABS(E13-Volume!G26)&lt;0.05,"PASS","ALERT")</f>
        <v/>
      </c>
    </row>
    <row r="23" ht="32" customHeight="1">
      <c r="A23" s="2" t="inlineStr">
        <is>
          <t>Gate for the quarter: if month 1 does not cut human tickets by about 10%, do not start the setup playbook. Fix the campaign screen first. The 10% is a management rule, not a formula. Month 1 in this model is a bit above that, which is why month 2 is allowed.</t>
        </is>
      </c>
    </row>
  </sheetData>
  <mergeCells count="2">
    <mergeCell ref="A23:H23"/>
    <mergeCell ref="A2:H2"/>
  </mergeCells>
  <conditionalFormatting sqref="B21">
    <cfRule type="cellIs" priority="1" operator="equal" dxfId="0">
      <formula>"PASS"</formula>
    </cfRule>
    <cfRule type="cellIs" priority="2" operator="equal" dxfId="1">
      <formula>"ALERT"</formula>
    </cfRule>
  </conditionalFormatting>
  <pageMargins left="0.75" right="0.75" top="1" bottom="1" header="0.5" footer="0.5"/>
  <pageSetup orientation="landscape" paperSize="9" fitToHeight="1" fitToWidth="1"/>
  <headerFooter>
    <oddHeader>&amp;LCheerio Assist  ·  Roadmap</oddHeader>
    <oddFooter/>
    <evenHeader/>
    <evenFooter/>
    <firstHeader/>
    <firstFooter/>
  </headerFooter>
</worksheet>
</file>

<file path=xl/worksheets/sheet6.xml><?xml version="1.0" encoding="utf-8"?>
<worksheet xmlns="http://schemas.openxmlformats.org/spreadsheetml/2006/main">
  <sheetPr>
    <tabColor rgb="001F4E79"/>
    <outlinePr summaryBelow="1" summaryRight="1"/>
    <pageSetUpPr fitToPage="1"/>
  </sheetPr>
  <dimension ref="A1:C35"/>
  <sheetViews>
    <sheetView showGridLines="0" workbookViewId="0">
      <pane ySplit="3" topLeftCell="A4" activePane="bottomLeft" state="frozen"/>
      <selection pane="bottomLeft" activeCell="A1" sqref="A1"/>
    </sheetView>
  </sheetViews>
  <sheetFormatPr baseColWidth="8" defaultRowHeight="15"/>
  <cols>
    <col width="56" customWidth="1" min="1" max="1"/>
    <col width="24" customWidth="1" min="2" max="2"/>
    <col width="70" customWidth="1" min="3" max="3"/>
  </cols>
  <sheetData>
    <row r="1">
      <c r="A1" s="1" t="inlineStr">
        <is>
          <t>How to charge</t>
        </is>
      </c>
    </row>
    <row r="2" ht="48" customHeight="1">
      <c r="A2" s="2" t="inlineStr">
        <is>
          <t>Include Assist on every paid plan. Do not sell it per conversation, per credit, or as a bot add-on. Growth already includes 4 support calls a month and Pro includes 10 (cheerio.ai/pricing, checked 12 Oct 2026). Escalation uses that entitlement. A new fee on the fix trains the owner to skip it and message a person, which is the path that costs about ₹218.</t>
        </is>
      </c>
    </row>
    <row r="4">
      <c r="A4" s="3" t="inlineStr">
        <is>
          <t>Free Assist — company outcome vs doing nothing</t>
        </is>
      </c>
    </row>
    <row r="5">
      <c r="A5" s="4" t="inlineStr">
        <is>
          <t>Human payroll today</t>
        </is>
      </c>
      <c r="B5" s="8">
        <f>Cost!B23</f>
        <v/>
      </c>
    </row>
    <row r="6">
      <c r="A6" s="4" t="inlineStr">
        <is>
          <t>Month-3 total (agents still needed + Assist)</t>
        </is>
      </c>
      <c r="B6" s="8">
        <f>Cost!B25</f>
        <v/>
      </c>
    </row>
    <row r="7">
      <c r="A7" s="4" t="inlineStr">
        <is>
          <t>Net saving per month</t>
        </is>
      </c>
      <c r="B7" s="8">
        <f>B5-B6</f>
        <v/>
      </c>
      <c r="C7" s="2" t="inlineStr">
        <is>
          <t>This is the margin. It is payroll you do not add, not a new line of revenue.</t>
        </is>
      </c>
    </row>
    <row r="8">
      <c r="A8" s="4" t="inlineStr">
        <is>
          <t>Assist operating cost</t>
        </is>
      </c>
      <c r="B8" s="8">
        <f>Cost!B18</f>
        <v/>
      </c>
    </row>
    <row r="9">
      <c r="A9" s="4" t="inlineStr">
        <is>
          <t>Saving per rupee of Assist cost</t>
        </is>
      </c>
      <c r="B9" s="11">
        <f>IF(B8=0,"n/a",B7/B8)</f>
        <v/>
      </c>
      <c r="C9" s="19" t="inlineStr">
        <is>
          <t>Above 1 means the operating cost comes back as avoided payroll.</t>
        </is>
      </c>
    </row>
    <row r="11">
      <c r="A11" s="3" t="inlineStr">
        <is>
          <t>If we metered it anyway</t>
        </is>
      </c>
    </row>
    <row r="12" ht="32" customHeight="1">
      <c r="A12" s="2" t="inlineStr">
        <is>
          <t>Fee and the lower adoption are inputs on Assumptions (the blue cells under “The price I would not charge”). Every issue is live, same as month 3. Only adoption changes. Hosting and the playbook owner stay, because you still run the system.</t>
        </is>
      </c>
    </row>
    <row r="14">
      <c r="A14" s="13" t="inlineStr">
        <is>
          <t>Issue</t>
        </is>
      </c>
      <c r="B14" s="13" t="inlineStr">
        <is>
          <t>Human tickets if metered</t>
        </is>
      </c>
      <c r="C14" s="13" t="inlineStr">
        <is>
          <t>Assist closures if metered</t>
        </is>
      </c>
    </row>
    <row r="15">
      <c r="A15" s="12">
        <f>Assumptions!A18</f>
        <v/>
      </c>
      <c r="B15" s="22">
        <f>Volume!B19*(1-((1-Assumptions!$C$54)*Assumptions!$C$6+Assumptions!$C$54*Assumptions!C18))</f>
        <v/>
      </c>
      <c r="C15" s="22">
        <f>Volume!B19*Assumptions!$C$54*Assumptions!C18</f>
        <v/>
      </c>
    </row>
    <row r="16">
      <c r="A16" s="12">
        <f>Assumptions!A19</f>
        <v/>
      </c>
      <c r="B16" s="22">
        <f>Volume!B20*(1-((1-Assumptions!$C$54)*Assumptions!$C$6+Assumptions!$C$54*Assumptions!C19))</f>
        <v/>
      </c>
      <c r="C16" s="22">
        <f>Volume!B20*Assumptions!$C$54*Assumptions!C19</f>
        <v/>
      </c>
    </row>
    <row r="17">
      <c r="A17" s="12">
        <f>Assumptions!A20</f>
        <v/>
      </c>
      <c r="B17" s="22">
        <f>Volume!B21*(1-((1-Assumptions!$C$54)*Assumptions!$C$6+Assumptions!$C$54*Assumptions!C20))</f>
        <v/>
      </c>
      <c r="C17" s="22">
        <f>Volume!B21*Assumptions!$C$54*Assumptions!C20</f>
        <v/>
      </c>
    </row>
    <row r="18">
      <c r="A18" s="12">
        <f>Assumptions!A21</f>
        <v/>
      </c>
      <c r="B18" s="22">
        <f>Volume!B22*(1-((1-Assumptions!$C$54)*Assumptions!$C$6+Assumptions!$C$54*Assumptions!C21))</f>
        <v/>
      </c>
      <c r="C18" s="22">
        <f>Volume!B22*Assumptions!$C$54*Assumptions!C21</f>
        <v/>
      </c>
    </row>
    <row r="19">
      <c r="A19" s="12">
        <f>Assumptions!A22</f>
        <v/>
      </c>
      <c r="B19" s="22">
        <f>Volume!B23*(1-((1-Assumptions!$C$54)*Assumptions!$C$6+Assumptions!$C$54*Assumptions!C22))</f>
        <v/>
      </c>
      <c r="C19" s="22">
        <f>Volume!B23*Assumptions!$C$54*Assumptions!C22</f>
        <v/>
      </c>
    </row>
    <row r="20">
      <c r="A20" s="12">
        <f>Assumptions!A23</f>
        <v/>
      </c>
      <c r="B20" s="22">
        <f>Volume!B24*(1-((1-Assumptions!$C$54)*Assumptions!$C$6+Assumptions!$C$54*Assumptions!C23))</f>
        <v/>
      </c>
      <c r="C20" s="22">
        <f>Volume!B24*Assumptions!$C$54*Assumptions!C23</f>
        <v/>
      </c>
    </row>
    <row r="21">
      <c r="A21" s="12">
        <f>Assumptions!A24</f>
        <v/>
      </c>
      <c r="B21" s="22">
        <f>Volume!B25*(1-((1-Assumptions!$C$54)*Assumptions!$C$6+Assumptions!$C$54*Assumptions!C24))</f>
        <v/>
      </c>
      <c r="C21" s="22">
        <f>Volume!B25*Assumptions!$C$54*Assumptions!C24</f>
        <v/>
      </c>
    </row>
    <row r="22">
      <c r="A22" s="23" t="inlineStr">
        <is>
          <t>Metered total</t>
        </is>
      </c>
      <c r="B22" s="24">
        <f>SUM(B15:B21)</f>
        <v/>
      </c>
      <c r="C22" s="24">
        <f>SUM(C15:C21)</f>
        <v/>
      </c>
    </row>
    <row r="24">
      <c r="A24" s="4" t="inlineStr">
        <is>
          <t>Human payroll if metered</t>
        </is>
      </c>
      <c r="B24" s="8">
        <f>B22/Cost!B6*Cost!B5</f>
        <v/>
      </c>
      <c r="C24" s="2" t="inlineStr">
        <is>
          <t>Tickets ÷ capacity × loaded agent cost.</t>
        </is>
      </c>
    </row>
    <row r="25">
      <c r="A25" s="4" t="inlineStr">
        <is>
          <t>Token bill if metered</t>
        </is>
      </c>
      <c r="B25" s="8">
        <f>Volume!E9*Assumptions!C54*Cost!B11</f>
        <v/>
      </c>
      <c r="C25" s="2" t="inlineStr">
        <is>
          <t>Fewer sessions, same price per session.</t>
        </is>
      </c>
    </row>
    <row r="26">
      <c r="A26" s="4" t="inlineStr">
        <is>
          <t>Assist operating cost if metered</t>
        </is>
      </c>
      <c r="B26" s="8">
        <f>B25+Assumptions!C47+Assumptions!C48</f>
        <v/>
      </c>
      <c r="C26" s="2" t="inlineStr">
        <is>
          <t>Tokens fall. The owner does not.</t>
        </is>
      </c>
    </row>
    <row r="27">
      <c r="A27" s="4" t="inlineStr">
        <is>
          <t>Total cost if metered</t>
        </is>
      </c>
      <c r="B27" s="8">
        <f>B24+B26</f>
        <v/>
      </c>
      <c r="C27" s="2" t="inlineStr"/>
    </row>
    <row r="28">
      <c r="A28" s="4" t="inlineStr">
        <is>
          <t>Fee revenue</t>
        </is>
      </c>
      <c r="B28" s="8">
        <f>C22*Assumptions!C53</f>
        <v/>
      </c>
      <c r="C28" s="2" t="inlineStr">
        <is>
          <t>Closures × the fee. Failed sessions are not billed.</t>
        </is>
      </c>
    </row>
    <row r="29">
      <c r="A29" s="4" t="inlineStr">
        <is>
          <t>Fee revenue minus Assist cost</t>
        </is>
      </c>
      <c r="B29" s="8">
        <f>B28-B26</f>
        <v/>
      </c>
      <c r="C29" s="2" t="inlineStr">
        <is>
          <t>Gross margin on the fee, before the tickets that come back.</t>
        </is>
      </c>
    </row>
    <row r="30">
      <c r="A30" s="4" t="inlineStr">
        <is>
          <t>Margin on the fee</t>
        </is>
      </c>
      <c r="B30" s="9">
        <f>IF(B28=0,"n/a",(B28-B26)/B28)</f>
        <v/>
      </c>
      <c r="C30" s="2" t="inlineStr">
        <is>
          <t>At ₹49 this is negative. The owner costs more than the fee collects.</t>
        </is>
      </c>
    </row>
    <row r="31">
      <c r="A31" s="4" t="inlineStr">
        <is>
          <t>Net benefit vs doing nothing</t>
        </is>
      </c>
      <c r="B31" s="8">
        <f>(Cost!B23-B27)+B28</f>
        <v/>
      </c>
      <c r="C31" s="2" t="inlineStr">
        <is>
          <t>Payroll avoided, minus nothing, plus the fee.</t>
        </is>
      </c>
    </row>
    <row r="32">
      <c r="A32" s="4" t="inlineStr">
        <is>
          <t>Free Assist net benefit, for comparison</t>
        </is>
      </c>
      <c r="B32" s="8">
        <f>B7</f>
        <v/>
      </c>
      <c r="C32" s="2" t="inlineStr">
        <is>
          <t>Same definition, no fee, higher adoption.</t>
        </is>
      </c>
    </row>
    <row r="33">
      <c r="A33" s="4" t="inlineStr">
        <is>
          <t>Free beats the fee by</t>
        </is>
      </c>
      <c r="B33" s="8">
        <f>B32-B31</f>
        <v/>
      </c>
      <c r="C33" s="2" t="inlineStr">
        <is>
          <t>Positive means I would not turn the meter on.</t>
        </is>
      </c>
    </row>
    <row r="35" ht="32" customHeight="1">
      <c r="A35" s="2" t="inlineStr">
        <is>
          <t>At the ₹49 input, fee revenue does not cover the playbook owner, so the margin on the fee is negative. Raise that blue cell until the margin turns positive and row 33 still loses to giving Assist away, because human tickets come back. Row 33 is the comparison.</t>
        </is>
      </c>
    </row>
  </sheetData>
  <mergeCells count="3">
    <mergeCell ref="A12:C12"/>
    <mergeCell ref="A2:C2"/>
    <mergeCell ref="A35:C35"/>
  </mergeCells>
  <pageMargins left="0.75" right="0.75" top="1" bottom="1" header="0.5" footer="0.5"/>
  <pageSetup orientation="landscape" paperSize="9" fitToHeight="1" fitToWidth="1"/>
  <headerFooter>
    <oddHeader>&amp;LCheerio Assist  ·  Billing</oddHeader>
    <oddFooter/>
    <evenHeader/>
    <evenFooter/>
    <firstHeader/>
    <firstFooter/>
  </headerFooter>
</worksheet>
</file>

<file path=xl/worksheets/sheet7.xml><?xml version="1.0" encoding="utf-8"?>
<worksheet xmlns="http://schemas.openxmlformats.org/spreadsheetml/2006/main">
  <sheetPr>
    <tabColor rgb="009F2D12"/>
    <outlinePr summaryBelow="1" summaryRight="1"/>
    <pageSetUpPr fitToPage="1"/>
  </sheetPr>
  <dimension ref="A1:C31"/>
  <sheetViews>
    <sheetView showGridLines="0" workbookViewId="0">
      <pane ySplit="3" topLeftCell="A4" activePane="bottomLeft" state="frozen"/>
      <selection pane="bottomLeft" activeCell="A1" sqref="A1"/>
    </sheetView>
  </sheetViews>
  <sheetFormatPr baseColWidth="8" defaultRowHeight="15"/>
  <cols>
    <col width="62" customWidth="1" min="1" max="1"/>
    <col width="16" customWidth="1" min="2" max="2"/>
    <col width="78" customWidth="1" min="3" max="3"/>
  </cols>
  <sheetData>
    <row r="1">
      <c r="A1" s="1" t="inlineStr">
        <is>
          <t>Monthly close</t>
        </is>
      </c>
    </row>
    <row r="2" ht="36" customHeight="1">
      <c r="A2" s="2" t="inlineStr">
        <is>
          <t>Run the structural checks every time the sheet changes. Run the worked-example checks on the first Monday of the month with real numbers typed into the blue cells on Assumptions. A FAIL on wallet or send actions stops the rollout the same day. A FAIL on a playbook turns off that playbook's button and leaves the explanation in place.</t>
        </is>
      </c>
    </row>
    <row r="4">
      <c r="A4" s="3" t="inlineStr">
        <is>
          <t>Structural — these should pass before anyone trusts a margin</t>
        </is>
      </c>
    </row>
    <row r="5">
      <c r="A5" s="13" t="inlineStr">
        <is>
          <t>Check</t>
        </is>
      </c>
      <c r="B5" s="13" t="inlineStr">
        <is>
          <t>Result</t>
        </is>
      </c>
      <c r="C5" s="13" t="inlineStr">
        <is>
          <t>What it is looking at</t>
        </is>
      </c>
    </row>
    <row r="6">
      <c r="A6" s="4" t="inlineStr">
        <is>
          <t>Business segments sum to 100%</t>
        </is>
      </c>
      <c r="B6" s="12">
        <f>IF(ABS(Assumptions!B14-1)&lt;0.0001,"PASS","ALERT")</f>
        <v/>
      </c>
      <c r="C6" s="19" t="inlineStr">
        <is>
          <t>Assumptions, who raises the queries.</t>
        </is>
      </c>
    </row>
    <row r="7">
      <c r="A7" s="4" t="inlineStr">
        <is>
          <t>Issue shares sum to 100%</t>
        </is>
      </c>
      <c r="B7" s="12">
        <f>IF(ABS(Assumptions!B25-1)&lt;0.0001,"PASS","ALERT")</f>
        <v/>
      </c>
      <c r="C7" s="19" t="inlineStr">
        <is>
          <t>Assumptions, what the queries are.</t>
        </is>
      </c>
    </row>
    <row r="8">
      <c r="A8" s="4" t="inlineStr">
        <is>
          <t>Month-3 roadmap matches the volume sheet</t>
        </is>
      </c>
      <c r="B8" s="12">
        <f>IF(Roadmap!B21="PASS","PASS","ALERT")</f>
        <v/>
      </c>
      <c r="C8" s="19" t="inlineStr">
        <is>
          <t>Two formulas, one queue. They have to agree.</t>
        </is>
      </c>
    </row>
    <row r="9">
      <c r="A9" s="4" t="inlineStr">
        <is>
          <t>Month-3 human tickets are below today</t>
        </is>
      </c>
      <c r="B9" s="12">
        <f>IF(Volume!G26&lt;Volume!B14,"PASS","ALERT")</f>
        <v/>
      </c>
      <c r="C9" s="19" t="inlineStr">
        <is>
          <t>If this fails, Assist is adding work.</t>
        </is>
      </c>
    </row>
    <row r="10">
      <c r="A10" s="4" t="inlineStr">
        <is>
          <t>Monthly saving is positive</t>
        </is>
      </c>
      <c r="B10" s="12">
        <f>IF(Cost!B26&gt;0,"PASS","ALERT")</f>
        <v/>
      </c>
      <c r="C10" s="19" t="inlineStr">
        <is>
          <t>Fractional load. The number on Cost row 26.</t>
        </is>
      </c>
    </row>
    <row r="11">
      <c r="A11" s="4" t="inlineStr">
        <is>
          <t>Free Assist beats the metered fee</t>
        </is>
      </c>
      <c r="B11" s="12">
        <f>IF(Billing!B33&gt;0,"PASS","ALERT")</f>
        <v/>
      </c>
      <c r="C11" s="19" t="inlineStr">
        <is>
          <t>If this fails, look again at the fee. The recommendation might be wrong.</t>
        </is>
      </c>
    </row>
    <row r="12">
      <c r="A12" s="4" t="inlineStr">
        <is>
          <t>Token price inputs are present</t>
        </is>
      </c>
      <c r="B12" s="12">
        <f>IF(AND(Assumptions!C35&gt;0,Assumptions!C37&gt;0,Assumptions!C38&gt;0),"PASS","ALERT")</f>
        <v/>
      </c>
      <c r="C12" s="19" t="inlineStr">
        <is>
          <t>A zero price would fake the margin.</t>
        </is>
      </c>
    </row>
    <row r="14">
      <c r="A14" s="3" t="inlineStr">
        <is>
          <t>This month's close — sample numbers until the first real month</t>
        </is>
      </c>
    </row>
    <row r="15">
      <c r="A15" s="13" t="inlineStr">
        <is>
          <t>Check</t>
        </is>
      </c>
      <c r="B15" s="13" t="inlineStr">
        <is>
          <t>Result</t>
        </is>
      </c>
      <c r="C15" s="13" t="inlineStr">
        <is>
          <t>Rule</t>
        </is>
      </c>
    </row>
    <row r="16" ht="28" customHeight="1">
      <c r="A16" s="4" t="inlineStr">
        <is>
          <t>OpenAI invoice vs logged token cost</t>
        </is>
      </c>
      <c r="B16" s="12">
        <f>IF(Assumptions!C68&lt;=Cost!B13*(1+Assumptions!C63),"PASS","ALERT")</f>
        <v/>
      </c>
      <c r="C16" s="2" t="inlineStr">
        <is>
          <t>Invoice ≤ logged cost × (1 + tolerance). Logs are Cost!B13. Invoice and tolerance are blue inputs.</t>
        </is>
      </c>
    </row>
    <row r="17" ht="28" customHeight="1">
      <c r="A17" s="4" t="inlineStr">
        <is>
          <t>Repeat contact within 7 days</t>
        </is>
      </c>
      <c r="B17" s="12">
        <f>IF(Assumptions!C65&lt;=Assumptions!C64,"PASS","ALERT")</f>
        <v/>
      </c>
      <c r="C17" s="2" t="inlineStr">
        <is>
          <t>Observed rate ≤ the alert line. Over the line, that playbook loses its one-click button.</t>
        </is>
      </c>
    </row>
    <row r="18" ht="28" customHeight="1">
      <c r="A18" s="4" t="inlineStr">
        <is>
          <t>Wrong one-click fixes in the sample of 30</t>
        </is>
      </c>
      <c r="B18" s="12">
        <f>IF(Assumptions!C66=0,"PASS","ALERT")</f>
        <v/>
      </c>
      <c r="C18" s="2" t="inlineStr">
        <is>
          <t>Any number above zero: turn the button off for that playbook the same day. Advice can stay.</t>
        </is>
      </c>
    </row>
    <row r="19" ht="28" customHeight="1">
      <c r="A19" s="4" t="inlineStr">
        <is>
          <t>Wallet, plan, or send actions taken by Assist</t>
        </is>
      </c>
      <c r="B19" s="12">
        <f>IF(Assumptions!C67=0,"PASS","ALERT")</f>
        <v/>
      </c>
      <c r="C19" s="2" t="inlineStr">
        <is>
          <t>Must be zero. This is a test in the product, not a sample. Non-zero stops rollout.</t>
        </is>
      </c>
    </row>
    <row r="21">
      <c r="A21" s="10" t="inlineStr">
        <is>
          <t>Logged token cost the invoice is checked against</t>
        </is>
      </c>
      <c r="B21" s="6">
        <f>Cost!B13</f>
        <v/>
      </c>
      <c r="C21" s="19" t="inlineStr">
        <is>
          <t>Formula. Do not type over it. Type the invoice on Assumptions.</t>
        </is>
      </c>
    </row>
    <row r="23">
      <c r="A23" s="3" t="inlineStr">
        <is>
          <t>What a person does on the first Monday</t>
        </is>
      </c>
    </row>
    <row r="24" ht="20" customHeight="1">
      <c r="A24" s="4" t="inlineStr">
        <is>
          <t>Export Assist sessions: issue, tokens, resolved or handed off, and whether a ticket opened on the same issue within 7 days.</t>
        </is>
      </c>
    </row>
    <row r="25" ht="20" customHeight="1">
      <c r="A25" s="4" t="inlineStr">
        <is>
          <t>Sum the tokens and compare with the OpenAI invoice. Type the invoice into the blue cell. The check above moves.</t>
        </is>
      </c>
    </row>
    <row r="26" ht="20" customHeight="1">
      <c r="A26" s="4" t="inlineStr">
        <is>
          <t>Read 30 sessions marked resolved, stratified across the live playbooks. Count wrong one-click fixes, not clumsy wording.</t>
        </is>
      </c>
    </row>
    <row r="27" ht="20" customHeight="1">
      <c r="A27" s="4" t="inlineStr">
        <is>
          <t>Confirm the automated test: Assist called no wallet, plan, or send endpoint. Type the count.</t>
        </is>
      </c>
    </row>
    <row r="28" ht="20" customHeight="1">
      <c r="A28" s="4" t="inlineStr">
        <is>
          <t>Look at human tickets per 100 active businesses. If month 2 is not below month 1, do not add a playbook. Repair the one that is live.</t>
        </is>
      </c>
    </row>
    <row r="29" ht="20" customHeight="1">
      <c r="A29" s="4" t="inlineStr">
        <is>
          <t>Do not bank the headcount saving until that rate has moved. The roster line on Cost is a ceiling for a reason.</t>
        </is>
      </c>
    </row>
    <row r="31" ht="32" customHeight="1">
      <c r="A31" s="2" t="inlineStr">
        <is>
          <t>Alert destination: one channel the support lead already reads. A dashboard nobody opens is not an audit. The playbook owner is the person named on Assumptions. If that seat is empty, Assist should explain and should not edit.</t>
        </is>
      </c>
    </row>
  </sheetData>
  <mergeCells count="8">
    <mergeCell ref="A25:C25"/>
    <mergeCell ref="A28:C28"/>
    <mergeCell ref="A31:C31"/>
    <mergeCell ref="A27:C27"/>
    <mergeCell ref="A29:C29"/>
    <mergeCell ref="A26:C26"/>
    <mergeCell ref="A24:C24"/>
    <mergeCell ref="A2:C2"/>
  </mergeCells>
  <conditionalFormatting sqref="B6:B12">
    <cfRule type="cellIs" priority="1" operator="equal" dxfId="0">
      <formula>"PASS"</formula>
    </cfRule>
    <cfRule type="cellIs" priority="2" operator="equal" dxfId="1">
      <formula>"ALERT"</formula>
    </cfRule>
  </conditionalFormatting>
  <conditionalFormatting sqref="B16:B19">
    <cfRule type="cellIs" priority="3" operator="equal" dxfId="0">
      <formula>"PASS"</formula>
    </cfRule>
    <cfRule type="cellIs" priority="4" operator="equal" dxfId="1">
      <formula>"ALERT"</formula>
    </cfRule>
  </conditionalFormatting>
  <pageMargins left="0.75" right="0.75" top="1" bottom="1" header="0.5" footer="0.5"/>
  <pageSetup orientation="landscape" paperSize="9" fitToHeight="1" fitToWidth="1"/>
  <headerFooter>
    <oddHeader>&amp;LCheerio Assist  ·  Audit</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2026-10-12T09:46:25Z</dcterms:created>
  <dcterms:modified xmlns:dcterms="http://purl.org/dc/terms/" xmlns:xsi="http://www.w3.org/2001/XMLSchema-instance" xsi:type="dcterms:W3CDTF">2026-10-12T09:46:25Z</dcterms:modified>
</cp:coreProperties>
</file>